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stgradouvcl-my.sharepoint.com/personal/carlos_buritica_postgrado_uv_cl/Documents/Simulación Agentes Inteligentes/"/>
    </mc:Choice>
  </mc:AlternateContent>
  <xr:revisionPtr revIDLastSave="2073" documentId="11_AD4D2F04E46CFB4ACB3E203C2D53FD86683EDF29" xr6:coauthVersionLast="47" xr6:coauthVersionMax="47" xr10:uidLastSave="{F2C39419-C9BF-4DF0-93E0-7C5164865492}"/>
  <bookViews>
    <workbookView xWindow="-108" yWindow="-108" windowWidth="23256" windowHeight="13896" firstSheet="2" activeTab="3" xr2:uid="{00000000-000D-0000-FFFF-FFFF00000000}"/>
  </bookViews>
  <sheets>
    <sheet name="Paper" sheetId="1" r:id="rId1"/>
    <sheet name="Resultados_paper" sheetId="2" r:id="rId2"/>
    <sheet name="Net_logo" sheetId="5" r:id="rId3"/>
    <sheet name="Resultados_net_logo" sheetId="4" r:id="rId4"/>
    <sheet name="Resultados_net_logo(no_vel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4" l="1" a="1"/>
  <c r="M51" i="4" s="1"/>
  <c r="P47" i="4"/>
  <c r="O47" i="4"/>
  <c r="N47" i="4"/>
  <c r="M47" i="4"/>
  <c r="C76" i="4"/>
  <c r="D76" i="4"/>
  <c r="E76" i="4"/>
  <c r="F76" i="4"/>
  <c r="G76" i="4"/>
  <c r="D118" i="4"/>
  <c r="E118" i="4"/>
  <c r="F118" i="4"/>
  <c r="G118" i="4"/>
  <c r="C118" i="4"/>
  <c r="D88" i="4"/>
  <c r="E88" i="4"/>
  <c r="F88" i="4"/>
  <c r="G88" i="4"/>
  <c r="C88" i="4"/>
  <c r="D113" i="4"/>
  <c r="E113" i="4"/>
  <c r="F113" i="4"/>
  <c r="G113" i="4"/>
  <c r="C113" i="4"/>
  <c r="D112" i="4"/>
  <c r="E112" i="4"/>
  <c r="F112" i="4"/>
  <c r="G112" i="4"/>
  <c r="C112" i="4"/>
  <c r="D111" i="4"/>
  <c r="E111" i="4"/>
  <c r="F111" i="4"/>
  <c r="G111" i="4"/>
  <c r="C111" i="4"/>
  <c r="D110" i="4"/>
  <c r="E110" i="4"/>
  <c r="F110" i="4"/>
  <c r="G110" i="4"/>
  <c r="C110" i="4"/>
  <c r="D109" i="4"/>
  <c r="E109" i="4"/>
  <c r="F109" i="4"/>
  <c r="G109" i="4"/>
  <c r="C109" i="4"/>
  <c r="D108" i="4"/>
  <c r="E108" i="4"/>
  <c r="F108" i="4"/>
  <c r="G108" i="4"/>
  <c r="C108" i="4"/>
  <c r="D107" i="4"/>
  <c r="E107" i="4"/>
  <c r="F107" i="4"/>
  <c r="G107" i="4"/>
  <c r="C107" i="4"/>
  <c r="J65" i="4"/>
  <c r="J66" i="4"/>
  <c r="J67" i="4"/>
  <c r="J68" i="4"/>
  <c r="J69" i="4"/>
  <c r="J70" i="4"/>
  <c r="J71" i="4"/>
  <c r="H65" i="4"/>
  <c r="H66" i="4"/>
  <c r="H67" i="4"/>
  <c r="H68" i="4"/>
  <c r="H69" i="4"/>
  <c r="H70" i="4"/>
  <c r="D64" i="4"/>
  <c r="E64" i="4"/>
  <c r="F64" i="4"/>
  <c r="G64" i="4"/>
  <c r="C64" i="4"/>
  <c r="I116" i="7"/>
  <c r="H116" i="7"/>
  <c r="I115" i="7"/>
  <c r="H115" i="7"/>
  <c r="I114" i="7"/>
  <c r="H114" i="7"/>
  <c r="I113" i="7"/>
  <c r="H113" i="7"/>
  <c r="I112" i="7"/>
  <c r="H112" i="7"/>
  <c r="I111" i="7"/>
  <c r="H111" i="7"/>
  <c r="E111" i="7"/>
  <c r="D111" i="7"/>
  <c r="C111" i="7"/>
  <c r="E110" i="7"/>
  <c r="D110" i="7"/>
  <c r="C110" i="7"/>
  <c r="I110" i="7" s="1"/>
  <c r="I109" i="7"/>
  <c r="H109" i="7"/>
  <c r="I105" i="7"/>
  <c r="H105" i="7"/>
  <c r="E104" i="7"/>
  <c r="D104" i="7"/>
  <c r="C104" i="7"/>
  <c r="I104" i="7" s="1"/>
  <c r="E103" i="7"/>
  <c r="D103" i="7"/>
  <c r="C103" i="7"/>
  <c r="I103" i="7" s="1"/>
  <c r="I102" i="7"/>
  <c r="H102" i="7"/>
  <c r="E102" i="7"/>
  <c r="D102" i="7"/>
  <c r="C102" i="7"/>
  <c r="E101" i="7"/>
  <c r="D101" i="7"/>
  <c r="C101" i="7"/>
  <c r="I101" i="7" s="1"/>
  <c r="I100" i="7"/>
  <c r="H100" i="7"/>
  <c r="I99" i="7"/>
  <c r="H99" i="7"/>
  <c r="I98" i="7"/>
  <c r="H98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M9" i="7" s="1" a="1"/>
  <c r="M9" i="7" s="1"/>
  <c r="I66" i="7"/>
  <c r="H66" i="7"/>
  <c r="M8" i="7" s="1" a="1"/>
  <c r="M8" i="7" s="1"/>
  <c r="I61" i="7"/>
  <c r="H61" i="7"/>
  <c r="I60" i="7"/>
  <c r="H60" i="7"/>
  <c r="I59" i="7"/>
  <c r="H59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G48" i="7"/>
  <c r="F48" i="7"/>
  <c r="I48" i="7" s="1"/>
  <c r="E48" i="7"/>
  <c r="D48" i="7"/>
  <c r="C48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G37" i="7"/>
  <c r="F37" i="7"/>
  <c r="E37" i="7"/>
  <c r="D37" i="7"/>
  <c r="C37" i="7"/>
  <c r="I37" i="7" s="1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G26" i="7"/>
  <c r="F26" i="7"/>
  <c r="E26" i="7"/>
  <c r="D26" i="7"/>
  <c r="C26" i="7"/>
  <c r="I26" i="7" s="1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G15" i="7"/>
  <c r="F15" i="7"/>
  <c r="E15" i="7"/>
  <c r="D15" i="7"/>
  <c r="C15" i="7"/>
  <c r="H15" i="7" s="1"/>
  <c r="M4" i="7" s="1" a="1"/>
  <c r="M4" i="7" s="1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G4" i="7"/>
  <c r="F4" i="7"/>
  <c r="E4" i="7"/>
  <c r="D4" i="7"/>
  <c r="C4" i="7"/>
  <c r="I4" i="7" s="1"/>
  <c r="M2" i="7" a="1"/>
  <c r="M2" i="7" s="1"/>
  <c r="D40" i="4"/>
  <c r="E40" i="4"/>
  <c r="F40" i="4"/>
  <c r="G40" i="4"/>
  <c r="C40" i="4"/>
  <c r="D52" i="4"/>
  <c r="E52" i="4"/>
  <c r="F52" i="4"/>
  <c r="G52" i="4"/>
  <c r="C52" i="4"/>
  <c r="D28" i="4"/>
  <c r="E28" i="4"/>
  <c r="F28" i="4"/>
  <c r="G28" i="4"/>
  <c r="C28" i="4"/>
  <c r="J121" i="4"/>
  <c r="J122" i="4"/>
  <c r="J123" i="4"/>
  <c r="J124" i="4"/>
  <c r="J125" i="4"/>
  <c r="H121" i="4"/>
  <c r="H122" i="4"/>
  <c r="H123" i="4"/>
  <c r="H124" i="4"/>
  <c r="H125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J77" i="4"/>
  <c r="J78" i="4"/>
  <c r="J81" i="4"/>
  <c r="J82" i="4"/>
  <c r="J79" i="4"/>
  <c r="J80" i="4"/>
  <c r="J83" i="4"/>
  <c r="H77" i="4"/>
  <c r="H78" i="4"/>
  <c r="H81" i="4"/>
  <c r="O48" i="4" s="1"/>
  <c r="H82" i="4"/>
  <c r="P48" i="4" s="1"/>
  <c r="H79" i="4"/>
  <c r="M48" i="4" s="1"/>
  <c r="H80" i="4"/>
  <c r="N48" i="4" s="1"/>
  <c r="H83" i="4"/>
  <c r="H71" i="4"/>
  <c r="H59" i="4"/>
  <c r="J53" i="4"/>
  <c r="J54" i="4"/>
  <c r="J55" i="4"/>
  <c r="J56" i="4"/>
  <c r="J57" i="4"/>
  <c r="J58" i="4"/>
  <c r="J59" i="4"/>
  <c r="H53" i="4"/>
  <c r="H54" i="4"/>
  <c r="H55" i="4"/>
  <c r="H56" i="4"/>
  <c r="H57" i="4"/>
  <c r="H58" i="4"/>
  <c r="J46" i="4"/>
  <c r="J47" i="4"/>
  <c r="H46" i="4"/>
  <c r="H47" i="4"/>
  <c r="J29" i="4"/>
  <c r="J30" i="4"/>
  <c r="J31" i="4"/>
  <c r="J32" i="4"/>
  <c r="J33" i="4"/>
  <c r="J34" i="4"/>
  <c r="J35" i="4"/>
  <c r="H29" i="4"/>
  <c r="H30" i="4"/>
  <c r="H31" i="4"/>
  <c r="H32" i="4"/>
  <c r="H33" i="4"/>
  <c r="H34" i="4"/>
  <c r="H35" i="4"/>
  <c r="H20" i="4"/>
  <c r="H17" i="4"/>
  <c r="J17" i="4"/>
  <c r="J18" i="4"/>
  <c r="J19" i="4"/>
  <c r="J20" i="4"/>
  <c r="J21" i="4"/>
  <c r="J22" i="4"/>
  <c r="J23" i="4"/>
  <c r="H18" i="4"/>
  <c r="H19" i="4"/>
  <c r="H21" i="4"/>
  <c r="H22" i="4"/>
  <c r="H23" i="4"/>
  <c r="D16" i="4"/>
  <c r="E16" i="4"/>
  <c r="F16" i="4"/>
  <c r="G16" i="4"/>
  <c r="C16" i="4"/>
  <c r="J5" i="4"/>
  <c r="J6" i="4"/>
  <c r="J7" i="4"/>
  <c r="J8" i="4"/>
  <c r="J9" i="4"/>
  <c r="J10" i="4"/>
  <c r="J11" i="4"/>
  <c r="H5" i="4"/>
  <c r="H6" i="4"/>
  <c r="H7" i="4"/>
  <c r="H8" i="4"/>
  <c r="H9" i="4"/>
  <c r="H10" i="4"/>
  <c r="H11" i="4"/>
  <c r="F4" i="4"/>
  <c r="G4" i="4"/>
  <c r="D4" i="4"/>
  <c r="E4" i="4"/>
  <c r="C4" i="4"/>
  <c r="M2" i="4" a="1"/>
  <c r="M2" i="4" s="1"/>
  <c r="D111" i="2"/>
  <c r="E111" i="2"/>
  <c r="C111" i="2"/>
  <c r="D110" i="2"/>
  <c r="E110" i="2"/>
  <c r="C110" i="2"/>
  <c r="G110" i="2" s="1"/>
  <c r="G116" i="2"/>
  <c r="F116" i="2"/>
  <c r="G115" i="2"/>
  <c r="F115" i="2"/>
  <c r="G114" i="2"/>
  <c r="F114" i="2"/>
  <c r="G113" i="2"/>
  <c r="F113" i="2"/>
  <c r="G112" i="2"/>
  <c r="F112" i="2"/>
  <c r="G109" i="2"/>
  <c r="F109" i="2"/>
  <c r="D104" i="2"/>
  <c r="E104" i="2"/>
  <c r="C104" i="2"/>
  <c r="F104" i="2" s="1"/>
  <c r="D103" i="2"/>
  <c r="E103" i="2"/>
  <c r="C103" i="2"/>
  <c r="C101" i="2"/>
  <c r="F101" i="2" s="1"/>
  <c r="D102" i="2"/>
  <c r="E102" i="2"/>
  <c r="C102" i="2"/>
  <c r="F102" i="2" s="1"/>
  <c r="D101" i="2"/>
  <c r="E101" i="2"/>
  <c r="G102" i="2"/>
  <c r="G105" i="2"/>
  <c r="F105" i="2"/>
  <c r="G100" i="2"/>
  <c r="F100" i="2"/>
  <c r="G99" i="2"/>
  <c r="F99" i="2"/>
  <c r="G98" i="2"/>
  <c r="F98" i="2"/>
  <c r="G87" i="2"/>
  <c r="G88" i="2"/>
  <c r="G89" i="2"/>
  <c r="G90" i="2"/>
  <c r="G91" i="2"/>
  <c r="G92" i="2"/>
  <c r="G93" i="2"/>
  <c r="F87" i="2"/>
  <c r="F88" i="2"/>
  <c r="F89" i="2"/>
  <c r="F90" i="2"/>
  <c r="F91" i="2"/>
  <c r="F92" i="2"/>
  <c r="F93" i="2"/>
  <c r="F94" i="2"/>
  <c r="G94" i="2"/>
  <c r="G86" i="2"/>
  <c r="F86" i="2"/>
  <c r="G85" i="2"/>
  <c r="F85" i="2"/>
  <c r="G84" i="2"/>
  <c r="F84" i="2"/>
  <c r="G83" i="2"/>
  <c r="F83" i="2"/>
  <c r="G82" i="2"/>
  <c r="F82" i="2"/>
  <c r="G81" i="2"/>
  <c r="F81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6" i="2"/>
  <c r="F66" i="2"/>
  <c r="G61" i="2"/>
  <c r="F61" i="2"/>
  <c r="G60" i="2"/>
  <c r="F60" i="2"/>
  <c r="G59" i="2"/>
  <c r="F59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K2" i="2" a="1"/>
  <c r="K2" i="2" s="1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15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F15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M52" i="4" l="1" a="1"/>
  <c r="M52" i="4" s="1"/>
  <c r="H113" i="4"/>
  <c r="H118" i="4"/>
  <c r="J118" i="4"/>
  <c r="C106" i="4"/>
  <c r="J88" i="4"/>
  <c r="D106" i="4"/>
  <c r="J107" i="4"/>
  <c r="G106" i="4"/>
  <c r="H112" i="4"/>
  <c r="F106" i="4"/>
  <c r="J113" i="4"/>
  <c r="J108" i="4"/>
  <c r="E106" i="4"/>
  <c r="H88" i="4"/>
  <c r="H107" i="4"/>
  <c r="H108" i="4"/>
  <c r="J76" i="4"/>
  <c r="H76" i="4"/>
  <c r="M9" i="4" s="1" a="1"/>
  <c r="G101" i="2"/>
  <c r="G104" i="2"/>
  <c r="F110" i="2"/>
  <c r="G111" i="2"/>
  <c r="G103" i="2"/>
  <c r="F111" i="2"/>
  <c r="K11" i="2" s="1" a="1"/>
  <c r="F103" i="2"/>
  <c r="K10" i="2" s="1" a="1"/>
  <c r="K10" i="2" s="1"/>
  <c r="H109" i="4"/>
  <c r="H119" i="4"/>
  <c r="H111" i="4"/>
  <c r="H110" i="4"/>
  <c r="J120" i="4"/>
  <c r="H64" i="4"/>
  <c r="M8" i="4" s="1" a="1"/>
  <c r="J112" i="4"/>
  <c r="J111" i="4"/>
  <c r="J110" i="4"/>
  <c r="J119" i="4"/>
  <c r="J28" i="4"/>
  <c r="H120" i="4"/>
  <c r="J64" i="4"/>
  <c r="J109" i="4"/>
  <c r="H28" i="4"/>
  <c r="M5" i="4" s="1" a="1"/>
  <c r="H16" i="4"/>
  <c r="M4" i="4" s="1" a="1"/>
  <c r="H48" i="7"/>
  <c r="M7" i="7" s="1" a="1"/>
  <c r="M7" i="7" s="1"/>
  <c r="H37" i="7"/>
  <c r="M6" i="7" s="1" a="1"/>
  <c r="M6" i="7" s="1"/>
  <c r="H103" i="7"/>
  <c r="H101" i="7"/>
  <c r="H110" i="7"/>
  <c r="M11" i="7" s="1" a="1"/>
  <c r="M11" i="7" s="1"/>
  <c r="H26" i="7"/>
  <c r="M5" i="7" s="1" a="1"/>
  <c r="M5" i="7" s="1"/>
  <c r="H4" i="7"/>
  <c r="M3" i="7" s="1" a="1"/>
  <c r="M3" i="7" s="1"/>
  <c r="H104" i="7"/>
  <c r="H44" i="4"/>
  <c r="J44" i="4"/>
  <c r="J45" i="4"/>
  <c r="H45" i="4"/>
  <c r="H52" i="4"/>
  <c r="M7" i="4" s="1" a="1"/>
  <c r="J52" i="4"/>
  <c r="J16" i="4"/>
  <c r="J4" i="4"/>
  <c r="H4" i="4"/>
  <c r="M3" i="4" s="1" a="1"/>
  <c r="K9" i="2" a="1"/>
  <c r="K7" i="2" a="1"/>
  <c r="K8" i="1" s="1"/>
  <c r="K4" i="2" a="1"/>
  <c r="K4" i="2" s="1"/>
  <c r="K3" i="2" a="1"/>
  <c r="K3" i="2" s="1"/>
  <c r="K5" i="2" a="1"/>
  <c r="J6" i="1" s="1"/>
  <c r="K6" i="2" a="1"/>
  <c r="P7" i="1" s="1"/>
  <c r="K8" i="2" a="1"/>
  <c r="K8" i="2" s="1"/>
  <c r="M40" i="4" l="1"/>
  <c r="N16" i="4"/>
  <c r="N40" i="4"/>
  <c r="O40" i="4"/>
  <c r="N28" i="4"/>
  <c r="M16" i="4"/>
  <c r="P40" i="4"/>
  <c r="M7" i="4"/>
  <c r="M32" i="4" s="1"/>
  <c r="O44" i="4"/>
  <c r="P44" i="4"/>
  <c r="N32" i="4"/>
  <c r="M20" i="4"/>
  <c r="M44" i="4"/>
  <c r="N44" i="4"/>
  <c r="N20" i="4"/>
  <c r="P6" i="5"/>
  <c r="N30" i="4"/>
  <c r="M18" i="4"/>
  <c r="N18" i="4"/>
  <c r="M42" i="4"/>
  <c r="N42" i="4"/>
  <c r="O42" i="4"/>
  <c r="P42" i="4"/>
  <c r="Q9" i="5"/>
  <c r="N33" i="4"/>
  <c r="M21" i="4"/>
  <c r="M45" i="4"/>
  <c r="N45" i="4"/>
  <c r="O45" i="4"/>
  <c r="P45" i="4"/>
  <c r="N21" i="4"/>
  <c r="P5" i="5"/>
  <c r="O41" i="4"/>
  <c r="N29" i="4"/>
  <c r="M17" i="4"/>
  <c r="P41" i="4"/>
  <c r="N17" i="4"/>
  <c r="M41" i="4"/>
  <c r="N41" i="4"/>
  <c r="P10" i="5"/>
  <c r="M22" i="4"/>
  <c r="N22" i="4"/>
  <c r="N34" i="4"/>
  <c r="M11" i="4" a="1"/>
  <c r="M11" i="4" s="1"/>
  <c r="M36" i="4" s="1"/>
  <c r="J106" i="4"/>
  <c r="H106" i="4"/>
  <c r="M10" i="4" s="1" a="1"/>
  <c r="K5" i="1"/>
  <c r="K9" i="2"/>
  <c r="M10" i="1"/>
  <c r="O5" i="1"/>
  <c r="N10" i="1"/>
  <c r="L5" i="1"/>
  <c r="O8" i="1"/>
  <c r="J8" i="1"/>
  <c r="P5" i="1"/>
  <c r="K11" i="2"/>
  <c r="O12" i="1"/>
  <c r="K12" i="1"/>
  <c r="N12" i="1"/>
  <c r="J12" i="1"/>
  <c r="M12" i="1"/>
  <c r="P12" i="1"/>
  <c r="L12" i="1"/>
  <c r="M10" i="7" a="1"/>
  <c r="M10" i="7" s="1"/>
  <c r="M3" i="4"/>
  <c r="M28" i="4" s="1"/>
  <c r="K4" i="5"/>
  <c r="H43" i="4"/>
  <c r="J43" i="4"/>
  <c r="K6" i="5"/>
  <c r="M6" i="5"/>
  <c r="M5" i="4"/>
  <c r="M30" i="4" s="1"/>
  <c r="L6" i="5"/>
  <c r="Q6" i="5"/>
  <c r="O6" i="5"/>
  <c r="N6" i="5"/>
  <c r="O10" i="5"/>
  <c r="I10" i="5" s="1"/>
  <c r="M10" i="5"/>
  <c r="K10" i="5"/>
  <c r="M8" i="4"/>
  <c r="M33" i="4" s="1"/>
  <c r="K9" i="5"/>
  <c r="L9" i="5"/>
  <c r="Q8" i="5"/>
  <c r="L8" i="5"/>
  <c r="M4" i="4"/>
  <c r="M29" i="4" s="1"/>
  <c r="L5" i="5"/>
  <c r="M5" i="5"/>
  <c r="Q5" i="5"/>
  <c r="N5" i="5"/>
  <c r="O5" i="5"/>
  <c r="N10" i="5"/>
  <c r="K8" i="5"/>
  <c r="M9" i="4"/>
  <c r="M34" i="4" s="1"/>
  <c r="P8" i="5"/>
  <c r="M8" i="5"/>
  <c r="N8" i="5"/>
  <c r="K5" i="5"/>
  <c r="O8" i="5"/>
  <c r="L10" i="5"/>
  <c r="Q10" i="5"/>
  <c r="L4" i="5"/>
  <c r="Q4" i="5"/>
  <c r="M4" i="5"/>
  <c r="P4" i="5"/>
  <c r="O4" i="5"/>
  <c r="N4" i="5"/>
  <c r="L11" i="1"/>
  <c r="K11" i="1"/>
  <c r="J11" i="1"/>
  <c r="P11" i="1"/>
  <c r="N11" i="1"/>
  <c r="O11" i="1"/>
  <c r="M11" i="1"/>
  <c r="K9" i="1"/>
  <c r="J9" i="1"/>
  <c r="H9" i="1" s="1"/>
  <c r="I9" i="1" s="1"/>
  <c r="P8" i="1"/>
  <c r="N8" i="1"/>
  <c r="J10" i="1"/>
  <c r="J5" i="1"/>
  <c r="M5" i="1"/>
  <c r="L4" i="1"/>
  <c r="K7" i="2"/>
  <c r="N5" i="1"/>
  <c r="K5" i="2"/>
  <c r="K4" i="1"/>
  <c r="N4" i="1"/>
  <c r="K6" i="1"/>
  <c r="J4" i="1"/>
  <c r="P9" i="1"/>
  <c r="O6" i="1"/>
  <c r="M4" i="1"/>
  <c r="P4" i="1"/>
  <c r="L8" i="1"/>
  <c r="N6" i="1"/>
  <c r="M8" i="1"/>
  <c r="L6" i="1"/>
  <c r="O4" i="1"/>
  <c r="P6" i="1"/>
  <c r="M7" i="1"/>
  <c r="J7" i="1"/>
  <c r="K6" i="2"/>
  <c r="N7" i="1"/>
  <c r="O7" i="1"/>
  <c r="P10" i="1"/>
  <c r="O10" i="1"/>
  <c r="H10" i="1" s="1"/>
  <c r="K7" i="1"/>
  <c r="K10" i="1"/>
  <c r="L7" i="1"/>
  <c r="L10" i="1"/>
  <c r="M6" i="1"/>
  <c r="Q12" i="5" l="1"/>
  <c r="O12" i="5"/>
  <c r="P12" i="5"/>
  <c r="M23" i="4"/>
  <c r="N35" i="4"/>
  <c r="N23" i="4"/>
  <c r="N24" i="4"/>
  <c r="N36" i="4"/>
  <c r="M24" i="4"/>
  <c r="N12" i="5"/>
  <c r="I5" i="5"/>
  <c r="I6" i="5"/>
  <c r="K12" i="5"/>
  <c r="M12" i="5"/>
  <c r="L12" i="5"/>
  <c r="G10" i="1"/>
  <c r="I10" i="1" s="1"/>
  <c r="H8" i="1"/>
  <c r="G12" i="1"/>
  <c r="G5" i="1"/>
  <c r="H5" i="1"/>
  <c r="H12" i="1"/>
  <c r="I12" i="1"/>
  <c r="G11" i="1"/>
  <c r="G6" i="1"/>
  <c r="H11" i="1"/>
  <c r="H10" i="5"/>
  <c r="J10" i="5" s="1"/>
  <c r="I9" i="5"/>
  <c r="J9" i="5" s="1"/>
  <c r="H5" i="5"/>
  <c r="I4" i="5"/>
  <c r="H42" i="4"/>
  <c r="J42" i="4"/>
  <c r="I8" i="5"/>
  <c r="H8" i="5"/>
  <c r="H6" i="5"/>
  <c r="M10" i="4"/>
  <c r="M35" i="4" s="1"/>
  <c r="P11" i="5"/>
  <c r="L11" i="5"/>
  <c r="N11" i="5"/>
  <c r="O11" i="5"/>
  <c r="Q11" i="5"/>
  <c r="K11" i="5"/>
  <c r="M11" i="5"/>
  <c r="I12" i="5"/>
  <c r="H4" i="5"/>
  <c r="H4" i="1"/>
  <c r="G8" i="1"/>
  <c r="H6" i="1"/>
  <c r="H7" i="1"/>
  <c r="G4" i="1"/>
  <c r="I4" i="1" s="1"/>
  <c r="I8" i="1"/>
  <c r="G7" i="1"/>
  <c r="H12" i="5" l="1"/>
  <c r="J12" i="5" s="1"/>
  <c r="J6" i="5"/>
  <c r="J5" i="5"/>
  <c r="I7" i="1"/>
  <c r="I6" i="1"/>
  <c r="I5" i="1"/>
  <c r="I11" i="1"/>
  <c r="I11" i="5"/>
  <c r="J41" i="4"/>
  <c r="H41" i="4"/>
  <c r="J8" i="5"/>
  <c r="J4" i="5"/>
  <c r="H11" i="5"/>
  <c r="J11" i="5" l="1"/>
  <c r="H40" i="4"/>
  <c r="M6" i="4" s="1" a="1"/>
  <c r="J40" i="4"/>
  <c r="N31" i="4" l="1"/>
  <c r="M19" i="4"/>
  <c r="O43" i="4"/>
  <c r="P43" i="4"/>
  <c r="M43" i="4"/>
  <c r="N19" i="4"/>
  <c r="N43" i="4"/>
  <c r="K7" i="5"/>
  <c r="N7" i="5"/>
  <c r="M6" i="4"/>
  <c r="M31" i="4" s="1"/>
  <c r="M7" i="5"/>
  <c r="H7" i="5" s="1"/>
  <c r="O7" i="5"/>
  <c r="L7" i="5"/>
  <c r="P7" i="5"/>
  <c r="Q7" i="5"/>
  <c r="I7" i="5" l="1"/>
  <c r="J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tc={7F060633-0CD3-42FB-880F-6FA7F1048D27}</author>
    <author>tc={60915EED-FF22-4F7D-98FF-B6A958DB9184}</author>
    <author>tc={B470715E-8CBE-4E08-B573-560035E64C92}</author>
    <author>tc={13567883-2C34-4FE4-A0F5-F00F0507C9A8}</author>
  </authors>
  <commentList>
    <comment ref="L10" authorId="0" shapeId="0" xr:uid="{7F060633-0CD3-42FB-880F-6FA7F1048D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Vivos que conocen edificio </t>
      </text>
    </comment>
    <comment ref="M10" authorId="1" shapeId="0" xr:uid="{60915EED-FF22-4F7D-98FF-B6A958DB91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Muertos que conocen edificio </t>
      </text>
    </comment>
    <comment ref="N10" authorId="2" shapeId="0" xr:uid="{B470715E-8CBE-4E08-B573-560035E64C9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Vivos que no conocen edificio </t>
      </text>
    </comment>
    <comment ref="O10" authorId="3" shapeId="0" xr:uid="{13567883-2C34-4FE4-A0F5-F00F0507C9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Muertos que no conocen edificio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tc={2E9BC42B-E385-416F-9ED8-496B00B065AF}</author>
    <author>tc={13E18537-3BB1-4088-9854-EEF3F96515B6}</author>
    <author>tc={3FFD5718-D6DC-420A-BC57-90424853148F}</author>
    <author>tc={1468D0F6-7750-4DDD-9ECE-1F9E8A1842D1}</author>
  </authors>
  <commentList>
    <comment ref="M10" authorId="0" shapeId="0" xr:uid="{2E9BC42B-E385-416F-9ED8-496B00B065A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Vivos que conocen edificio </t>
      </text>
    </comment>
    <comment ref="N10" authorId="1" shapeId="0" xr:uid="{13E18537-3BB1-4088-9854-EEF3F96515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Muertos que conocen edificio </t>
      </text>
    </comment>
    <comment ref="O10" authorId="2" shapeId="0" xr:uid="{3FFD5718-D6DC-420A-BC57-9042485314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Vivos que no conocen edificio </t>
      </text>
    </comment>
    <comment ref="P10" authorId="3" shapeId="0" xr:uid="{1468D0F6-7750-4DDD-9ECE-1F9E8A1842D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Muertos que no conocen edificio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<sst xmlns="http://schemas.openxmlformats.org/spreadsheetml/2006/main" count="800" uniqueCount="124">
  <si>
    <t>Resultados promedio paper</t>
  </si>
  <si>
    <t>Total</t>
  </si>
  <si>
    <t>Pacientes</t>
  </si>
  <si>
    <t>Sanos</t>
  </si>
  <si>
    <t>Escenario</t>
  </si>
  <si>
    <t>Descripción</t>
  </si>
  <si>
    <t>Inicio fuego</t>
  </si>
  <si>
    <t>Ubicación agentes</t>
  </si>
  <si>
    <t>Consideraciones</t>
  </si>
  <si>
    <t>Vivos</t>
  </si>
  <si>
    <t>Muertos</t>
  </si>
  <si>
    <t>Tiempo evacuación</t>
  </si>
  <si>
    <t>NO CHANGES ARE MADE TO THE BUILDING</t>
  </si>
  <si>
    <t>Random</t>
  </si>
  <si>
    <t>Fuego lado izquierdo</t>
  </si>
  <si>
    <t>THE IMPACTOF THE LARGE NUMBER OF AGENTS TO EVACUATE</t>
  </si>
  <si>
    <t>Mayor ocupación</t>
  </si>
  <si>
    <t>THE IMPACTOF FIRE POSITIONING</t>
  </si>
  <si>
    <t>Centro</t>
  </si>
  <si>
    <t>Fuego en centro</t>
  </si>
  <si>
    <t>ADDING TWO ADDITIONAL TRANSVERSE DOORS TO THE EXISTING ONES</t>
  </si>
  <si>
    <t>Dos salidas adicionales</t>
  </si>
  <si>
    <t>THE IMPACTOF PEOPLE MOVING ALONG THE WALLS</t>
  </si>
  <si>
    <t>Todos conocen edif</t>
  </si>
  <si>
    <t>ALL EVACUEE AGENTS ARE HEALTHY AND UNAWARE OF THE BUILDING’S CONFIGURATION</t>
  </si>
  <si>
    <t>Fuego lado izquierdo, todos sanos y desconocen edif</t>
  </si>
  <si>
    <t>ONLY50% OF AGENTS (REGARDLESS OF THEIR HEALTH STATUS) ARE FAMILIAR WITH THE BUILDING’S CONFIGURATION</t>
  </si>
  <si>
    <t>Solo 50% agentes conoce edif, no considera estado salud</t>
  </si>
  <si>
    <t>ONLY50% OF AGENTS (CONSIDERATION OF THEIR HEALTH STATUS) ARE FAMILIAR WITH THE BUILDING’S CONFIGURATION</t>
  </si>
  <si>
    <t>50% agentes conoce edif, considerar estado salud</t>
  </si>
  <si>
    <t>THE IMPACTOF ADDING EMERGENCY EXITS TO THE HOSPITAL BUILDING</t>
  </si>
  <si>
    <t>Adicionar 2 salidas y 5 puertas de emergencia</t>
  </si>
  <si>
    <t>Table paper</t>
  </si>
  <si>
    <t>Resultados promedio compilados</t>
  </si>
  <si>
    <t>Table 3</t>
  </si>
  <si>
    <t>Escenario No. 1: NO CHANGES ARE MADE TO THE BUILDING</t>
  </si>
  <si>
    <t>Resultados</t>
  </si>
  <si>
    <t>S1</t>
  </si>
  <si>
    <t>S2</t>
  </si>
  <si>
    <t>S3</t>
  </si>
  <si>
    <t>Promedio</t>
  </si>
  <si>
    <t>Desv. Estandar</t>
  </si>
  <si>
    <t>Escenario No. 1</t>
  </si>
  <si>
    <t>Individuos en el ambiente</t>
  </si>
  <si>
    <t>Escenario No. 2</t>
  </si>
  <si>
    <t>Número de individuos vivos</t>
  </si>
  <si>
    <t>Escenario No. 3</t>
  </si>
  <si>
    <t>Número de individuos muertos</t>
  </si>
  <si>
    <t>Escenario No. 4</t>
  </si>
  <si>
    <t>Número de pacientes vivos</t>
  </si>
  <si>
    <t>Escenario No. 5</t>
  </si>
  <si>
    <t>Número de pacientes muertos</t>
  </si>
  <si>
    <t>Escenario No. 6</t>
  </si>
  <si>
    <t>Número de sanos vivos</t>
  </si>
  <si>
    <t>Escenario No. 7</t>
  </si>
  <si>
    <t>Número de sanos muertos</t>
  </si>
  <si>
    <t>Escenario No. 8</t>
  </si>
  <si>
    <t>Tiempo promedio de evacuación</t>
  </si>
  <si>
    <t>Escenario No. 9</t>
  </si>
  <si>
    <t>Table 4</t>
  </si>
  <si>
    <t>Escenario No. 2: THE IMPACTOF THE LARGE NUMBER OF AGENTS TO EVACUATE</t>
  </si>
  <si>
    <t>Table 5</t>
  </si>
  <si>
    <t>Escenario No. 3: THE IMPACTOF FIRE POSITIONING</t>
  </si>
  <si>
    <t>Table 6</t>
  </si>
  <si>
    <t>Escenario No. 4: ADDING TWO ADDITIONAL TRANSVERSE DOORS TO THE EXISTING ONES</t>
  </si>
  <si>
    <t>Table 7</t>
  </si>
  <si>
    <t>Escenario No. 5: THE IMPACTOF PEOPLE MOVING ALONG THE WALLS</t>
  </si>
  <si>
    <t>Table 8</t>
  </si>
  <si>
    <t>Escenario No. 6: ALL EVACUEE AGENTS ARE HEALTHY AND UNAWARE OF THE BUILDING’S CONFIGURATION</t>
  </si>
  <si>
    <t>Table 9</t>
  </si>
  <si>
    <t>Escenario No. 7: ONLY50% OF AGENTS (REGARDLESS OF THEIR HEALTH STATUS) ARE FAMILIAR WITH THE BUILDING’S CONFIGURATION</t>
  </si>
  <si>
    <t>pacientes vivos</t>
  </si>
  <si>
    <t xml:space="preserve">Número vivos que conocen edificio </t>
  </si>
  <si>
    <t>pacientes muertos</t>
  </si>
  <si>
    <t xml:space="preserve">Número muertos que conocen edificio </t>
  </si>
  <si>
    <t>sanos vivos</t>
  </si>
  <si>
    <t xml:space="preserve">Número vivos que no conocen edificio </t>
  </si>
  <si>
    <t>sanos muertos</t>
  </si>
  <si>
    <t xml:space="preserve">Número muertos que no conocen edificio </t>
  </si>
  <si>
    <t>Table 10</t>
  </si>
  <si>
    <t>Escenario No. 8: ONLY50% OF AGENTS (CONSIDERATION OF THEIR HEALTH STATUS) ARE FAMILIAR WITH THE BUILDING’S CONFIGURATION</t>
  </si>
  <si>
    <t xml:space="preserve">Pacientes que no conocen edificio </t>
  </si>
  <si>
    <t>Sanos que no conocen edificio</t>
  </si>
  <si>
    <t xml:space="preserve">Vivos. Sanos, conocen edificio </t>
  </si>
  <si>
    <t>Vivos. Sanos, no conocen edificio</t>
  </si>
  <si>
    <t xml:space="preserve">Vivos. Pacientes, conocen edificio </t>
  </si>
  <si>
    <t>Vivos. Pacientes, no conocen edificio</t>
  </si>
  <si>
    <t xml:space="preserve">Muertos. Sanos, conocen edificio </t>
  </si>
  <si>
    <t>Muertos. Sanos, no conocen edificio</t>
  </si>
  <si>
    <t xml:space="preserve">Muertos. Pacientes, conocen edificio </t>
  </si>
  <si>
    <t>Muertos. Pacientes, no conocen edificio</t>
  </si>
  <si>
    <t>Resumen escenario 8</t>
  </si>
  <si>
    <t>Table 11</t>
  </si>
  <si>
    <t>Escenario No. 9: THE IMPACTOF ADDING EMERGENCY EXITS TO THE HOSPITAL BUILDING</t>
  </si>
  <si>
    <t>Resultados promedio Net Logo</t>
  </si>
  <si>
    <t>Prob_fuego</t>
  </si>
  <si>
    <t>Fuego laterales</t>
  </si>
  <si>
    <t>Fuego laterales, todos sanos y desconocen edif</t>
  </si>
  <si>
    <t>S4</t>
  </si>
  <si>
    <t>S5</t>
  </si>
  <si>
    <t>sanos</t>
  </si>
  <si>
    <t xml:space="preserve">Enfermos que no conocen edificio </t>
  </si>
  <si>
    <t xml:space="preserve">Vivos. Enfermos, conocen edificio </t>
  </si>
  <si>
    <t>Vivos. Enfermos, no conocen edificio</t>
  </si>
  <si>
    <t xml:space="preserve">Muertos. Enfermos, conocen edificio </t>
  </si>
  <si>
    <t>Muertos. Enfermos, no conocen edificio</t>
  </si>
  <si>
    <t>Individuos vivos</t>
  </si>
  <si>
    <t>Individuos muertos</t>
  </si>
  <si>
    <t>Pacientes vivos</t>
  </si>
  <si>
    <t>Pacientes muertos</t>
  </si>
  <si>
    <t>Sanos vivos</t>
  </si>
  <si>
    <t>Sanos muertos</t>
  </si>
  <si>
    <t>Agentes vivos</t>
  </si>
  <si>
    <t>Agentes muertos</t>
  </si>
  <si>
    <t>Agentes en el ambiente</t>
  </si>
  <si>
    <t>Escenario 7</t>
  </si>
  <si>
    <t>Escenario 8</t>
  </si>
  <si>
    <t xml:space="preserve">Vivos que conocen edificio </t>
  </si>
  <si>
    <t xml:space="preserve">Muertos que conocen edificio </t>
  </si>
  <si>
    <t xml:space="preserve">Vivos que no conocen edificio </t>
  </si>
  <si>
    <t xml:space="preserve">Muertos que no conocen edificio </t>
  </si>
  <si>
    <t>DE</t>
  </si>
  <si>
    <t>±</t>
  </si>
  <si>
    <r>
      <t>S</t>
    </r>
    <r>
      <rPr>
        <i/>
        <vertAlign val="subscript"/>
        <sz val="12"/>
        <color theme="1"/>
        <rFont val="Aptos"/>
        <family val="2"/>
      </rPr>
      <t xml:space="preserve">i </t>
    </r>
    <r>
      <rPr>
        <sz val="12"/>
        <color theme="1"/>
        <rFont val="Aptos"/>
        <family val="2"/>
      </rPr>
      <t xml:space="preserve">: Simulación i, donde </t>
    </r>
    <r>
      <rPr>
        <i/>
        <sz val="12"/>
        <color theme="1"/>
        <rFont val="Aptos"/>
        <family val="2"/>
      </rPr>
      <t>i</t>
    </r>
    <r>
      <rPr>
        <sz val="12"/>
        <color theme="1"/>
        <rFont val="Aptos"/>
        <family val="2"/>
      </rPr>
      <t xml:space="preserve"> = 1…5; DE: Desviación estándar.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</si>
</sst>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i/>
      <vertAlign val="subscript"/>
      <sz val="12"/>
      <color theme="1"/>
      <name val="Aptos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0" xfId="0" applyNumberFormat="1"/>
    <xf numFmtId="0" fontId="0" fillId="0" borderId="0" xfId="0" quotePrefix="1"/>
    <xf numFmtId="1" fontId="0" fillId="2" borderId="1" xfId="0" applyNumberForma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/>
    </xf>
    <xf numFmtId="164" fontId="0" fillId="4" borderId="0" xfId="0" applyNumberFormat="1" applyFill="1"/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0" xfId="0" quotePrefix="1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165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Resultados_net_logo!$M$15</c:f>
              <c:strCache>
                <c:ptCount val="1"/>
                <c:pt idx="0">
                  <c:v>Agentes vivos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Resultados_net_logo!$L$16:$L$24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Resultados_net_logo!$M$16:$M$24</c:f>
              <c:numCache>
                <c:formatCode>0</c:formatCode>
                <c:ptCount val="9"/>
                <c:pt idx="0">
                  <c:v>89.8</c:v>
                </c:pt>
                <c:pt idx="1">
                  <c:v>221.4</c:v>
                </c:pt>
                <c:pt idx="2">
                  <c:v>81.2</c:v>
                </c:pt>
                <c:pt idx="3">
                  <c:v>93.8</c:v>
                </c:pt>
                <c:pt idx="4">
                  <c:v>91.4</c:v>
                </c:pt>
                <c:pt idx="5">
                  <c:v>86.4</c:v>
                </c:pt>
                <c:pt idx="6">
                  <c:v>101</c:v>
                </c:pt>
                <c:pt idx="7">
                  <c:v>97.8</c:v>
                </c:pt>
                <c:pt idx="8">
                  <c:v>97.2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1-45A5-A5FF-2FA169BE8B04}"/>
            </c:ext>
          </c:extLst>
        </c:ser>
        <c:ser>
          <c:idx val="1"/>
          <c:order val="1"/>
          <c:tx>
            <c:strRef>
              <c:f>Resultados_net_logo!$N$15</c:f>
              <c:strCache>
                <c:ptCount val="1"/>
                <c:pt idx="0">
                  <c:v>Agentes muertos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Resultados_net_logo!$L$16:$L$24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Resultados_net_logo!$N$16:$N$24</c:f>
              <c:numCache>
                <c:formatCode>0</c:formatCode>
                <c:ptCount val="9"/>
                <c:pt idx="0">
                  <c:v>10.199999999999999</c:v>
                </c:pt>
                <c:pt idx="1">
                  <c:v>68.599999999999994</c:v>
                </c:pt>
                <c:pt idx="2">
                  <c:v>28.8</c:v>
                </c:pt>
                <c:pt idx="3">
                  <c:v>6.2</c:v>
                </c:pt>
                <c:pt idx="4">
                  <c:v>8.6</c:v>
                </c:pt>
                <c:pt idx="5">
                  <c:v>13.6</c:v>
                </c:pt>
                <c:pt idx="6">
                  <c:v>19</c:v>
                </c:pt>
                <c:pt idx="7">
                  <c:v>15.2</c:v>
                </c:pt>
                <c:pt idx="8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1-45A5-A5FF-2FA169BE8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5682943"/>
        <c:axId val="1899365295"/>
      </c:barChart>
      <c:catAx>
        <c:axId val="204568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9365295"/>
        <c:crosses val="autoZero"/>
        <c:auto val="1"/>
        <c:lblAlgn val="ctr"/>
        <c:lblOffset val="100"/>
        <c:noMultiLvlLbl val="0"/>
      </c:catAx>
      <c:valAx>
        <c:axId val="18993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</a:t>
                </a:r>
                <a:r>
                  <a:rPr lang="es-CO" baseline="0"/>
                  <a:t> de agentes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568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Resultados_net_logo!$N$27</c:f>
              <c:strCache>
                <c:ptCount val="1"/>
                <c:pt idx="0">
                  <c:v>Tiempo promedio de evacuación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B3D-4C93-8985-166C8E53C7FD}"/>
              </c:ext>
            </c:extLst>
          </c:dPt>
          <c:xVal>
            <c:numRef>
              <c:f>Resultados_net_logo!$M$28:$M$36</c:f>
              <c:numCache>
                <c:formatCode>General</c:formatCode>
                <c:ptCount val="9"/>
                <c:pt idx="0">
                  <c:v>100</c:v>
                </c:pt>
                <c:pt idx="1">
                  <c:v>290</c:v>
                </c:pt>
                <c:pt idx="2">
                  <c:v>110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120</c:v>
                </c:pt>
                <c:pt idx="7">
                  <c:v>113</c:v>
                </c:pt>
                <c:pt idx="8">
                  <c:v>100</c:v>
                </c:pt>
              </c:numCache>
            </c:numRef>
          </c:xVal>
          <c:yVal>
            <c:numRef>
              <c:f>Resultados_net_logo!$N$28:$N$36</c:f>
              <c:numCache>
                <c:formatCode>General</c:formatCode>
                <c:ptCount val="9"/>
                <c:pt idx="0">
                  <c:v>50.6</c:v>
                </c:pt>
                <c:pt idx="1">
                  <c:v>71.599999999999994</c:v>
                </c:pt>
                <c:pt idx="2">
                  <c:v>36</c:v>
                </c:pt>
                <c:pt idx="3">
                  <c:v>41.2</c:v>
                </c:pt>
                <c:pt idx="4">
                  <c:v>28.6</c:v>
                </c:pt>
                <c:pt idx="5">
                  <c:v>48.6</c:v>
                </c:pt>
                <c:pt idx="6">
                  <c:v>48.8</c:v>
                </c:pt>
                <c:pt idx="7">
                  <c:v>54</c:v>
                </c:pt>
                <c:pt idx="8">
                  <c:v>35.200000000000003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D-4C93-8985-166C8E53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29247"/>
        <c:axId val="1899375375"/>
      </c:scatterChart>
      <c:valAx>
        <c:axId val="190942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agentes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9375375"/>
        <c:crosses val="autoZero"/>
        <c:crossBetween val="midCat"/>
      </c:valAx>
      <c:valAx>
        <c:axId val="189937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</a:t>
                </a:r>
                <a:r>
                  <a:rPr lang="es-CO" baseline="0"/>
                  <a:t> de evacuación (ticks)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942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Resultados_net_logo!$L$40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Resultados_net_logo!$L$40:$P$40</c15:sqref>
                  </c15:fullRef>
                </c:ext>
              </c:extLst>
              <c:f>Resultados_net_logo!$M$40:$P$40</c:f>
              <c:numCache>
                <c:formatCode>General</c:formatCode>
                <c:ptCount val="4"/>
                <c:pt idx="0">
                  <c:v>35.799999999999997</c:v>
                </c:pt>
                <c:pt idx="1">
                  <c:v>4.2</c:v>
                </c:pt>
                <c:pt idx="2">
                  <c:v>54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C-4842-A103-F9891687E565}"/>
            </c:ext>
          </c:extLst>
        </c:ser>
        <c:ser>
          <c:idx val="1"/>
          <c:order val="1"/>
          <c:tx>
            <c:strRef>
              <c:f>Resultados_net_logo!$L$41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Resultados_net_logo!$L$41:$P$41</c15:sqref>
                  </c15:fullRef>
                </c:ext>
              </c:extLst>
              <c:f>Resultados_net_logo!$M$41:$P$41</c:f>
              <c:numCache>
                <c:formatCode>General</c:formatCode>
                <c:ptCount val="4"/>
                <c:pt idx="0">
                  <c:v>79.2</c:v>
                </c:pt>
                <c:pt idx="1">
                  <c:v>28.8</c:v>
                </c:pt>
                <c:pt idx="2">
                  <c:v>142.19999999999999</c:v>
                </c:pt>
                <c:pt idx="3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C-4842-A103-F9891687E565}"/>
            </c:ext>
          </c:extLst>
        </c:ser>
        <c:ser>
          <c:idx val="2"/>
          <c:order val="2"/>
          <c:tx>
            <c:strRef>
              <c:f>Resultados_net_logo!$L$42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Resultados_net_logo!$L$42:$P$42</c15:sqref>
                  </c15:fullRef>
                </c:ext>
              </c:extLst>
              <c:f>Resultados_net_logo!$M$42:$P$42</c:f>
              <c:numCache>
                <c:formatCode>General</c:formatCode>
                <c:ptCount val="4"/>
                <c:pt idx="0">
                  <c:v>40.200000000000003</c:v>
                </c:pt>
                <c:pt idx="1">
                  <c:v>19.8</c:v>
                </c:pt>
                <c:pt idx="2">
                  <c:v>41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C-4842-A103-F9891687E565}"/>
            </c:ext>
          </c:extLst>
        </c:ser>
        <c:ser>
          <c:idx val="3"/>
          <c:order val="3"/>
          <c:tx>
            <c:strRef>
              <c:f>Resultados_net_logo!$L$43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Resultados_net_logo!$L$43:$P$43</c15:sqref>
                  </c15:fullRef>
                </c:ext>
              </c:extLst>
              <c:f>Resultados_net_logo!$M$43:$P$43</c:f>
              <c:numCache>
                <c:formatCode>General</c:formatCode>
                <c:ptCount val="4"/>
                <c:pt idx="0">
                  <c:v>40.4</c:v>
                </c:pt>
                <c:pt idx="1">
                  <c:v>4.5999999999999996</c:v>
                </c:pt>
                <c:pt idx="2">
                  <c:v>53.4</c:v>
                </c:pt>
                <c:pt idx="3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8C-4842-A103-F9891687E565}"/>
            </c:ext>
          </c:extLst>
        </c:ser>
        <c:ser>
          <c:idx val="4"/>
          <c:order val="4"/>
          <c:tx>
            <c:strRef>
              <c:f>Resultados_net_logo!$L$44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Resultados_net_logo!$L$44:$P$44</c15:sqref>
                  </c15:fullRef>
                </c:ext>
              </c:extLst>
              <c:f>Resultados_net_logo!$M$44:$P$44</c:f>
              <c:numCache>
                <c:formatCode>General</c:formatCode>
                <c:ptCount val="4"/>
                <c:pt idx="0">
                  <c:v>35.4</c:v>
                </c:pt>
                <c:pt idx="1">
                  <c:v>4.5999999999999996</c:v>
                </c:pt>
                <c:pt idx="2">
                  <c:v>56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C-4842-A103-F9891687E565}"/>
            </c:ext>
          </c:extLst>
        </c:ser>
        <c:ser>
          <c:idx val="5"/>
          <c:order val="5"/>
          <c:tx>
            <c:strRef>
              <c:f>Resultados_net_logo!$L$45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Resultados_net_logo!$L$39:$P$39</c15:sqref>
                  </c15:fullRef>
                </c:ext>
              </c:extLst>
              <c:f>Resultados_net_logo!$M$39:$P$39</c:f>
              <c:strCache>
                <c:ptCount val="4"/>
                <c:pt idx="0">
                  <c:v>Pacientes vivos</c:v>
                </c:pt>
                <c:pt idx="1">
                  <c:v>Pacientes muertos</c:v>
                </c:pt>
                <c:pt idx="2">
                  <c:v>Sanos vivos</c:v>
                </c:pt>
                <c:pt idx="3">
                  <c:v>Sanos muertos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Resultados_net_logo!$L$45:$P$45</c15:sqref>
                  </c15:fullRef>
                </c:ext>
              </c:extLst>
              <c:f>Resultados_net_logo!$M$45:$P$45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86.4</c:v>
                </c:pt>
                <c:pt idx="3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8C-4842-A103-F9891687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129951"/>
        <c:axId val="1680303919"/>
      </c:barChart>
      <c:catAx>
        <c:axId val="21451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0303919"/>
        <c:crosses val="autoZero"/>
        <c:auto val="1"/>
        <c:lblAlgn val="ctr"/>
        <c:lblOffset val="100"/>
        <c:noMultiLvlLbl val="0"/>
      </c:catAx>
      <c:valAx>
        <c:axId val="16803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agentes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51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Resultados_net_logo!$M$47</c:f>
              <c:strCache>
                <c:ptCount val="1"/>
                <c:pt idx="0">
                  <c:v>Vivos que conocen edificio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Resultados_net_logo!$M$48</c:f>
              <c:numCache>
                <c:formatCode>0.00</c:formatCode>
                <c:ptCount val="1"/>
                <c:pt idx="0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B-40C8-8021-D892DFB79332}"/>
            </c:ext>
          </c:extLst>
        </c:ser>
        <c:ser>
          <c:idx val="2"/>
          <c:order val="2"/>
          <c:tx>
            <c:strRef>
              <c:f>Resultados_net_logo!$N$47</c:f>
              <c:strCache>
                <c:ptCount val="1"/>
                <c:pt idx="0">
                  <c:v>Muertos que conocen edificio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Resultados_net_logo!$N$48</c:f>
              <c:numCache>
                <c:formatCode>0.00</c:formatCode>
                <c:ptCount val="1"/>
                <c:pt idx="0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B-40C8-8021-D892DFB79332}"/>
            </c:ext>
          </c:extLst>
        </c:ser>
        <c:ser>
          <c:idx val="3"/>
          <c:order val="3"/>
          <c:tx>
            <c:strRef>
              <c:f>Resultados_net_logo!$O$47</c:f>
              <c:strCache>
                <c:ptCount val="1"/>
                <c:pt idx="0">
                  <c:v>Vivos que no conocen edificio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Resultados_net_logo!$O$48</c:f>
              <c:numCache>
                <c:formatCode>0.00</c:formatCode>
                <c:ptCount val="1"/>
                <c:pt idx="0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AB-40C8-8021-D892DFB79332}"/>
            </c:ext>
          </c:extLst>
        </c:ser>
        <c:ser>
          <c:idx val="4"/>
          <c:order val="4"/>
          <c:tx>
            <c:strRef>
              <c:f>Resultados_net_logo!$P$47</c:f>
              <c:strCache>
                <c:ptCount val="1"/>
                <c:pt idx="0">
                  <c:v>Muertos que no conocen edificio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Resultados_net_logo!$P$48</c:f>
              <c:numCache>
                <c:formatCode>0.00</c:formatCode>
                <c:ptCount val="1"/>
                <c:pt idx="0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AB-40C8-8021-D892DFB7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113615"/>
        <c:axId val="1899322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Resultados_net_logo!$L$47</c15:sqref>
                        </c15:formulaRef>
                      </c:ext>
                    </c:extLst>
                    <c:strCache>
                      <c:ptCount val="1"/>
                      <c:pt idx="0">
                        <c:v>Escenario 7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Resultados_net_logo!$L$48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AB-40C8-8021-D892DFB79332}"/>
                  </c:ext>
                </c:extLst>
              </c15:ser>
            </c15:filteredBarSeries>
          </c:ext>
        </c:extLst>
      </c:barChart>
      <c:catAx>
        <c:axId val="515113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9322095"/>
        <c:crosses val="autoZero"/>
        <c:auto val="1"/>
        <c:lblAlgn val="ctr"/>
        <c:lblOffset val="100"/>
        <c:noMultiLvlLbl val="0"/>
      </c:catAx>
      <c:valAx>
        <c:axId val="18993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</a:t>
                </a:r>
                <a:r>
                  <a:rPr lang="es-CO" baseline="0"/>
                  <a:t> de agentes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511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Resultados_net_logo!$M$51</c:f>
              <c:strCache>
                <c:ptCount val="1"/>
                <c:pt idx="0">
                  <c:v>Pacientes que no conocen edificio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Resultados_net_logo!$M$52</c:f>
              <c:numCache>
                <c:formatCode>General</c:formatCode>
                <c:ptCount val="1"/>
                <c:pt idx="0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6-426B-8DDD-EAC6EAE03E76}"/>
            </c:ext>
          </c:extLst>
        </c:ser>
        <c:ser>
          <c:idx val="2"/>
          <c:order val="2"/>
          <c:tx>
            <c:strRef>
              <c:f>Resultados_net_logo!$N$51</c:f>
              <c:strCache>
                <c:ptCount val="1"/>
                <c:pt idx="0">
                  <c:v>Sanos que no conocen edificio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Resultados_net_logo!$N$52</c:f>
              <c:numCache>
                <c:formatCode>General</c:formatCode>
                <c:ptCount val="1"/>
                <c:pt idx="0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6-426B-8DDD-EAC6EAE03E76}"/>
            </c:ext>
          </c:extLst>
        </c:ser>
        <c:ser>
          <c:idx val="3"/>
          <c:order val="3"/>
          <c:tx>
            <c:strRef>
              <c:f>Resultados_net_logo!$O$51</c:f>
              <c:strCache>
                <c:ptCount val="1"/>
                <c:pt idx="0">
                  <c:v>Vivos. Sanos, conocen edificio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Resultados_net_logo!$O$52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6-426B-8DDD-EAC6EAE03E76}"/>
            </c:ext>
          </c:extLst>
        </c:ser>
        <c:ser>
          <c:idx val="4"/>
          <c:order val="4"/>
          <c:tx>
            <c:strRef>
              <c:f>Resultados_net_logo!$P$51</c:f>
              <c:strCache>
                <c:ptCount val="1"/>
                <c:pt idx="0">
                  <c:v>Vivos. Sanos, no conocen edificio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Resultados_net_logo!$P$52</c:f>
              <c:numCache>
                <c:formatCode>General</c:formatCode>
                <c:ptCount val="1"/>
                <c:pt idx="0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56-426B-8DDD-EAC6EAE03E76}"/>
            </c:ext>
          </c:extLst>
        </c:ser>
        <c:ser>
          <c:idx val="5"/>
          <c:order val="5"/>
          <c:tx>
            <c:strRef>
              <c:f>Resultados_net_logo!$Q$51</c:f>
              <c:strCache>
                <c:ptCount val="1"/>
                <c:pt idx="0">
                  <c:v>Vivos. Pacientes, conocen edificio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Resultados_net_logo!$Q$52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56-426B-8DDD-EAC6EAE03E76}"/>
            </c:ext>
          </c:extLst>
        </c:ser>
        <c:ser>
          <c:idx val="6"/>
          <c:order val="6"/>
          <c:tx>
            <c:strRef>
              <c:f>Resultados_net_logo!$R$51</c:f>
              <c:strCache>
                <c:ptCount val="1"/>
                <c:pt idx="0">
                  <c:v>Vivos. Pacientes, no conocen edificio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Resultados_net_logo!$R$52</c:f>
              <c:numCache>
                <c:formatCode>General</c:formatCode>
                <c:ptCount val="1"/>
                <c:pt idx="0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56-426B-8DDD-EAC6EAE03E76}"/>
            </c:ext>
          </c:extLst>
        </c:ser>
        <c:ser>
          <c:idx val="7"/>
          <c:order val="7"/>
          <c:tx>
            <c:strRef>
              <c:f>Resultados_net_logo!$S$51</c:f>
              <c:strCache>
                <c:ptCount val="1"/>
                <c:pt idx="0">
                  <c:v>Muertos. Sanos, conocen edificio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Resultados_net_logo!$S$52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56-426B-8DDD-EAC6EAE03E76}"/>
            </c:ext>
          </c:extLst>
        </c:ser>
        <c:ser>
          <c:idx val="8"/>
          <c:order val="8"/>
          <c:tx>
            <c:strRef>
              <c:f>Resultados_net_logo!$T$51</c:f>
              <c:strCache>
                <c:ptCount val="1"/>
                <c:pt idx="0">
                  <c:v>Muertos. Sanos, no conocen edificio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Resultados_net_logo!$T$52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56-426B-8DDD-EAC6EAE03E76}"/>
            </c:ext>
          </c:extLst>
        </c:ser>
        <c:ser>
          <c:idx val="9"/>
          <c:order val="9"/>
          <c:tx>
            <c:strRef>
              <c:f>Resultados_net_logo!$U$51</c:f>
              <c:strCache>
                <c:ptCount val="1"/>
                <c:pt idx="0">
                  <c:v>Muertos. Pacientes, conocen edificio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Resultados_net_logo!$U$52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56-426B-8DDD-EAC6EAE03E76}"/>
            </c:ext>
          </c:extLst>
        </c:ser>
        <c:ser>
          <c:idx val="10"/>
          <c:order val="10"/>
          <c:tx>
            <c:strRef>
              <c:f>Resultados_net_logo!$V$51</c:f>
              <c:strCache>
                <c:ptCount val="1"/>
                <c:pt idx="0">
                  <c:v>Muertos. Pacientes, no conocen edificio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Resultados_net_logo!$V$52</c:f>
              <c:numCache>
                <c:formatCode>General</c:formatCode>
                <c:ptCount val="1"/>
                <c:pt idx="0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56-426B-8DDD-EAC6EAE03E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527199"/>
        <c:axId val="1899328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Resultados_net_logo!$L$51</c15:sqref>
                        </c15:formulaRef>
                      </c:ext>
                    </c:extLst>
                    <c:strCache>
                      <c:ptCount val="1"/>
                      <c:pt idx="0">
                        <c:v>Escenario 8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Resultados_net_logo!$L$52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56-426B-8DDD-EAC6EAE03E76}"/>
                  </c:ext>
                </c:extLst>
              </c15:ser>
            </c15:filteredBarSeries>
          </c:ext>
        </c:extLst>
      </c:barChart>
      <c:catAx>
        <c:axId val="45052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9328335"/>
        <c:crosses val="autoZero"/>
        <c:auto val="1"/>
        <c:lblAlgn val="ctr"/>
        <c:lblOffset val="100"/>
        <c:noMultiLvlLbl val="0"/>
      </c:catAx>
      <c:valAx>
        <c:axId val="18993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</a:t>
                </a:r>
                <a:r>
                  <a:rPr lang="es-CO" baseline="0"/>
                  <a:t> de agentes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052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Resultados_net_logo!$L$28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Resultados_net_logo!$M$28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Resultados_net_logo!$N$28</c:f>
              <c:numCache>
                <c:formatCode>General</c:formatCode>
                <c:ptCount val="1"/>
                <c:pt idx="0">
                  <c:v>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9-475A-A41E-D74A499431AD}"/>
            </c:ext>
          </c:extLst>
        </c:ser>
        <c:ser>
          <c:idx val="1"/>
          <c:order val="1"/>
          <c:tx>
            <c:strRef>
              <c:f>Resultados_net_logo!$L$29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Resultados_net_logo!$M$29</c:f>
              <c:numCache>
                <c:formatCode>General</c:formatCode>
                <c:ptCount val="1"/>
                <c:pt idx="0">
                  <c:v>290</c:v>
                </c:pt>
              </c:numCache>
            </c:numRef>
          </c:xVal>
          <c:yVal>
            <c:numRef>
              <c:f>Resultados_net_logo!$N$29</c:f>
              <c:numCache>
                <c:formatCode>General</c:formatCode>
                <c:ptCount val="1"/>
                <c:pt idx="0">
                  <c:v>71.599999999999994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F9-475A-A41E-D74A499431AD}"/>
            </c:ext>
          </c:extLst>
        </c:ser>
        <c:ser>
          <c:idx val="2"/>
          <c:order val="2"/>
          <c:tx>
            <c:strRef>
              <c:f>Resultados_net_logo!$L$30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Resultados_net_logo!$M$30</c:f>
              <c:numCache>
                <c:formatCode>General</c:formatCode>
                <c:ptCount val="1"/>
                <c:pt idx="0">
                  <c:v>110</c:v>
                </c:pt>
              </c:numCache>
            </c:numRef>
          </c:xVal>
          <c:yVal>
            <c:numRef>
              <c:f>Resultados_net_logo!$N$30</c:f>
              <c:numCache>
                <c:formatCode>General</c:formatCode>
                <c:ptCount val="1"/>
                <c:pt idx="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F9-475A-A41E-D74A499431AD}"/>
            </c:ext>
          </c:extLst>
        </c:ser>
        <c:ser>
          <c:idx val="3"/>
          <c:order val="3"/>
          <c:tx>
            <c:strRef>
              <c:f>Resultados_net_logo!$L$31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Resultados_net_logo!$M$31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Resultados_net_logo!$N$31</c:f>
              <c:numCache>
                <c:formatCode>General</c:formatCode>
                <c:ptCount val="1"/>
                <c:pt idx="0">
                  <c:v>41.2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F9-475A-A41E-D74A499431AD}"/>
            </c:ext>
          </c:extLst>
        </c:ser>
        <c:ser>
          <c:idx val="4"/>
          <c:order val="4"/>
          <c:tx>
            <c:strRef>
              <c:f>Resultados_net_logo!$L$32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Resultados_net_logo!$M$32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Resultados_net_logo!$N$32</c:f>
              <c:numCache>
                <c:formatCode>General</c:formatCode>
                <c:ptCount val="1"/>
                <c:pt idx="0">
                  <c:v>28.6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F9-475A-A41E-D74A499431AD}"/>
            </c:ext>
          </c:extLst>
        </c:ser>
        <c:ser>
          <c:idx val="5"/>
          <c:order val="5"/>
          <c:tx>
            <c:strRef>
              <c:f>Resultados_net_logo!$L$33</c:f>
              <c:strCache>
                <c:ptCount val="1"/>
                <c:pt idx="0">
                  <c:v>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Resultados_net_logo!$M$33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Resultados_net_logo!$N$33</c:f>
              <c:numCache>
                <c:formatCode>General</c:formatCode>
                <c:ptCount val="1"/>
                <c:pt idx="0">
                  <c:v>48.6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F9-475A-A41E-D74A499431AD}"/>
            </c:ext>
          </c:extLst>
        </c:ser>
        <c:ser>
          <c:idx val="6"/>
          <c:order val="6"/>
          <c:tx>
            <c:strRef>
              <c:f>Resultados_net_logo!$L$34</c:f>
              <c:strCache>
                <c:ptCount val="1"/>
                <c:pt idx="0">
                  <c:v>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Resultados_net_logo!$M$34</c:f>
              <c:numCache>
                <c:formatCode>General</c:formatCode>
                <c:ptCount val="1"/>
                <c:pt idx="0">
                  <c:v>120</c:v>
                </c:pt>
              </c:numCache>
            </c:numRef>
          </c:xVal>
          <c:yVal>
            <c:numRef>
              <c:f>Resultados_net_logo!$N$34</c:f>
              <c:numCache>
                <c:formatCode>General</c:formatCode>
                <c:ptCount val="1"/>
                <c:pt idx="0">
                  <c:v>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F9-475A-A41E-D74A499431AD}"/>
            </c:ext>
          </c:extLst>
        </c:ser>
        <c:ser>
          <c:idx val="7"/>
          <c:order val="7"/>
          <c:tx>
            <c:strRef>
              <c:f>Resultados_net_logo!$L$35</c:f>
              <c:strCache>
                <c:ptCount val="1"/>
                <c:pt idx="0">
                  <c:v>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Resultados_net_logo!$M$35</c:f>
              <c:numCache>
                <c:formatCode>General</c:formatCode>
                <c:ptCount val="1"/>
                <c:pt idx="0">
                  <c:v>113</c:v>
                </c:pt>
              </c:numCache>
            </c:numRef>
          </c:xVal>
          <c:yVal>
            <c:numRef>
              <c:f>Resultados_net_logo!$N$35</c:f>
              <c:numCache>
                <c:formatCode>General</c:formatCode>
                <c:ptCount val="1"/>
                <c:pt idx="0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F9-475A-A41E-D74A499431AD}"/>
            </c:ext>
          </c:extLst>
        </c:ser>
        <c:ser>
          <c:idx val="8"/>
          <c:order val="8"/>
          <c:tx>
            <c:strRef>
              <c:f>Resultados_net_logo!$L$36</c:f>
              <c:strCache>
                <c:ptCount val="1"/>
                <c:pt idx="0">
                  <c:v>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Resultados_net_logo!$M$36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Resultados_net_logo!$N$36</c:f>
              <c:numCache>
                <c:formatCode>General</c:formatCode>
                <c:ptCount val="1"/>
                <c:pt idx="0">
                  <c:v>35.200000000000003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F9-475A-A41E-D74A4994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91247"/>
        <c:axId val="1899373935"/>
      </c:scatterChart>
      <c:valAx>
        <c:axId val="45039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</a:t>
                </a:r>
                <a:r>
                  <a:rPr lang="es-CO" baseline="0"/>
                  <a:t> de agentes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9373935"/>
        <c:crosses val="autoZero"/>
        <c:crossBetween val="midCat"/>
      </c:valAx>
      <c:valAx>
        <c:axId val="18993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de evacuación (Ticks)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039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457200</xdr:colOff>
      <xdr:row>9</xdr:row>
      <xdr:rowOff>41910</xdr:rowOff>
    </xdr:from>
    <xdr:to>
      <xdr:col>26</xdr:col>
      <xdr:colOff>320040</xdr:colOff>
      <xdr:row>26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EB81619-283F-E048-2D00-6E3E79D3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213360</xdr:colOff>
      <xdr:row>29</xdr:row>
      <xdr:rowOff>171450</xdr:rowOff>
    </xdr:from>
    <xdr:to>
      <xdr:col>28</xdr:col>
      <xdr:colOff>76200</xdr:colOff>
      <xdr:row>45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D48FA6F-EBD2-9B37-4F36-88985B4C8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769620</xdr:colOff>
      <xdr:row>54</xdr:row>
      <xdr:rowOff>125730</xdr:rowOff>
    </xdr:from>
    <xdr:to>
      <xdr:col>22</xdr:col>
      <xdr:colOff>632460</xdr:colOff>
      <xdr:row>70</xdr:row>
      <xdr:rowOff>125730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E6A0B8B-050E-8094-D2A7-039310A76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762000</xdr:colOff>
      <xdr:row>71</xdr:row>
      <xdr:rowOff>156210</xdr:rowOff>
    </xdr:from>
    <xdr:to>
      <xdr:col>23</xdr:col>
      <xdr:colOff>426720</xdr:colOff>
      <xdr:row>88</xdr:row>
      <xdr:rowOff>156210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2B41E8F-5B65-54CC-B368-4F8D418CB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754380</xdr:colOff>
      <xdr:row>89</xdr:row>
      <xdr:rowOff>57150</xdr:rowOff>
    </xdr:from>
    <xdr:to>
      <xdr:col>24</xdr:col>
      <xdr:colOff>624840</xdr:colOff>
      <xdr:row>105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9AC8E83-67CE-2A29-1FC3-824E9888D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99060</xdr:colOff>
      <xdr:row>29</xdr:row>
      <xdr:rowOff>163830</xdr:rowOff>
    </xdr:from>
    <xdr:to>
      <xdr:col>21</xdr:col>
      <xdr:colOff>746760</xdr:colOff>
      <xdr:row>45</xdr:row>
      <xdr:rowOff>163830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3BF8AF4-5AD9-61CF-EFC8-57F19EA9A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Andrés Buriticá Hernández" id="{89AE05C2-316F-47D8-8AA3-D5285DE7ECBA}" userId="8c19038bb01f44a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7-06T23:06:54.89" personId="{89AE05C2-316F-47D8-8AA3-D5285DE7ECBA}" id="{7F060633-0CD3-42FB-880F-6FA7F1048D27}">
    <text xml:space="preserve">Vivos que conocen edificio </text>
  </threadedComment>
  <threadedComment ref="M10" dT="2026-07-06T23:07:25.08" personId="{89AE05C2-316F-47D8-8AA3-D5285DE7ECBA}" id="{60915EED-FF22-4F7D-98FF-B6A958DB9184}">
    <text xml:space="preserve">Muertos que conocen edificio </text>
  </threadedComment>
  <threadedComment ref="N10" dT="2026-07-06T23:07:42.96" personId="{89AE05C2-316F-47D8-8AA3-D5285DE7ECBA}" id="{B470715E-8CBE-4E08-B573-560035E64C92}">
    <text xml:space="preserve">Vivos que no conocen edificio </text>
  </threadedComment>
  <threadedComment ref="O10" dT="2026-07-06T23:07:58.11" personId="{89AE05C2-316F-47D8-8AA3-D5285DE7ECBA}" id="{13567883-2C34-4FE4-A0F5-F00F0507C9A8}">
    <text xml:space="preserve">Muertos que no conocen edificio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0" dT="2026-07-06T23:06:54.89" personId="{89AE05C2-316F-47D8-8AA3-D5285DE7ECBA}" id="{2E9BC42B-E385-416F-9ED8-496B00B065AF}">
    <text xml:space="preserve">Vivos que conocen edificio </text>
  </threadedComment>
  <threadedComment ref="N10" dT="2026-07-06T23:07:25.08" personId="{89AE05C2-316F-47D8-8AA3-D5285DE7ECBA}" id="{13E18537-3BB1-4088-9854-EEF3F96515B6}">
    <text xml:space="preserve">Muertos que conocen edificio </text>
  </threadedComment>
  <threadedComment ref="O10" dT="2026-07-06T23:07:42.96" personId="{89AE05C2-316F-47D8-8AA3-D5285DE7ECBA}" id="{3FFD5718-D6DC-420A-BC57-90424853148F}">
    <text xml:space="preserve">Vivos que no conocen edificio </text>
  </threadedComment>
  <threadedComment ref="P10" dT="2026-07-06T23:07:58.11" personId="{89AE05C2-316F-47D8-8AA3-D5285DE7ECBA}" id="{1468D0F6-7750-4DDD-9ECE-1F9E8A1842D1}">
    <text xml:space="preserve">Muertos que no conocen edificio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"/>
  <sheetViews>
    <sheetView zoomScaleNormal="100" workbookViewId="0">
      <selection activeCell="C19" sqref="C19"/>
    </sheetView>
  </sheetViews>
  <sheetFormatPr baseColWidth="10" defaultColWidth="8.88671875" defaultRowHeight="14.4" x14ac:dyDescent="0.3"/>
  <cols>
    <col min="2" max="2" width="10.6640625" bestFit="1" customWidth="1"/>
    <col min="3" max="3" width="103" bestFit="1" customWidth="1"/>
    <col min="4" max="5" width="18.33203125" customWidth="1"/>
    <col min="6" max="6" width="48" bestFit="1" customWidth="1"/>
    <col min="10" max="10" width="9.88671875" bestFit="1" customWidth="1"/>
    <col min="16" max="16" width="19.88671875" bestFit="1" customWidth="1"/>
  </cols>
  <sheetData>
    <row r="1" spans="2:16" x14ac:dyDescent="0.3">
      <c r="J1" s="17" t="s">
        <v>0</v>
      </c>
      <c r="K1" s="17"/>
      <c r="L1" s="17"/>
      <c r="M1" s="17"/>
      <c r="N1" s="17"/>
      <c r="O1" s="17"/>
      <c r="P1" s="17"/>
    </row>
    <row r="2" spans="2:16" x14ac:dyDescent="0.3">
      <c r="J2" s="17" t="s">
        <v>1</v>
      </c>
      <c r="K2" s="17"/>
      <c r="L2" s="17" t="s">
        <v>2</v>
      </c>
      <c r="M2" s="17"/>
      <c r="N2" s="17" t="s">
        <v>3</v>
      </c>
      <c r="O2" s="17"/>
      <c r="P2" s="3"/>
    </row>
    <row r="3" spans="2:16" x14ac:dyDescent="0.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2</v>
      </c>
      <c r="H3" s="3" t="s">
        <v>3</v>
      </c>
      <c r="I3" s="3" t="s">
        <v>1</v>
      </c>
      <c r="J3" s="3" t="s">
        <v>9</v>
      </c>
      <c r="K3" s="3" t="s">
        <v>10</v>
      </c>
      <c r="L3" s="3" t="s">
        <v>9</v>
      </c>
      <c r="M3" s="3" t="s">
        <v>10</v>
      </c>
      <c r="N3" s="3" t="s">
        <v>9</v>
      </c>
      <c r="O3" s="3" t="s">
        <v>10</v>
      </c>
      <c r="P3" s="3" t="s">
        <v>11</v>
      </c>
    </row>
    <row r="4" spans="2:16" x14ac:dyDescent="0.3">
      <c r="B4" s="4">
        <v>1</v>
      </c>
      <c r="C4" s="5" t="s">
        <v>12</v>
      </c>
      <c r="D4" s="5" t="s">
        <v>13</v>
      </c>
      <c r="E4" s="5" t="s">
        <v>13</v>
      </c>
      <c r="F4" s="4" t="s">
        <v>14</v>
      </c>
      <c r="G4" s="8">
        <f>SUM(L4:M4)</f>
        <v>40</v>
      </c>
      <c r="H4" s="8">
        <f>SUM(N4:O4)</f>
        <v>59.333333333333336</v>
      </c>
      <c r="I4" s="9">
        <f>G4+H4</f>
        <v>99.333333333333343</v>
      </c>
      <c r="J4" s="7">
        <f>Resultados_paper!L3</f>
        <v>79</v>
      </c>
      <c r="K4" s="7">
        <f>Resultados_paper!M3</f>
        <v>21</v>
      </c>
      <c r="L4" s="7">
        <f>Resultados_paper!N3</f>
        <v>29</v>
      </c>
      <c r="M4" s="7">
        <f>Resultados_paper!O3</f>
        <v>11</v>
      </c>
      <c r="N4" s="7">
        <f>Resultados_paper!P3</f>
        <v>49</v>
      </c>
      <c r="O4" s="6">
        <f>Resultados_paper!Q3</f>
        <v>10.333333333333334</v>
      </c>
      <c r="P4" s="7">
        <f>Resultados_paper!R3</f>
        <v>352</v>
      </c>
    </row>
    <row r="5" spans="2:16" x14ac:dyDescent="0.3">
      <c r="B5" s="4">
        <v>2</v>
      </c>
      <c r="C5" s="4" t="s">
        <v>15</v>
      </c>
      <c r="D5" s="4" t="s">
        <v>13</v>
      </c>
      <c r="E5" s="4" t="s">
        <v>13</v>
      </c>
      <c r="F5" s="4" t="s">
        <v>16</v>
      </c>
      <c r="G5" s="8">
        <f t="shared" ref="G5:G12" si="0">SUM(L5:M5)</f>
        <v>108</v>
      </c>
      <c r="H5" s="8">
        <f t="shared" ref="H5:H12" si="1">SUM(N5:O5)</f>
        <v>182</v>
      </c>
      <c r="I5" s="8">
        <f>G5+H5</f>
        <v>290</v>
      </c>
      <c r="J5" s="7">
        <f>Resultados_paper!L4</f>
        <v>234</v>
      </c>
      <c r="K5" s="7">
        <f>Resultados_paper!M4</f>
        <v>56</v>
      </c>
      <c r="L5" s="7">
        <f>Resultados_paper!N4</f>
        <v>68</v>
      </c>
      <c r="M5" s="7">
        <f>Resultados_paper!O4</f>
        <v>40</v>
      </c>
      <c r="N5" s="7">
        <f>Resultados_paper!P4</f>
        <v>166</v>
      </c>
      <c r="O5" s="7">
        <f>Resultados_paper!Q4</f>
        <v>16</v>
      </c>
      <c r="P5" s="7">
        <f>Resultados_paper!R4</f>
        <v>553</v>
      </c>
    </row>
    <row r="6" spans="2:16" x14ac:dyDescent="0.3">
      <c r="B6" s="4">
        <v>3</v>
      </c>
      <c r="C6" s="4" t="s">
        <v>17</v>
      </c>
      <c r="D6" s="4" t="s">
        <v>18</v>
      </c>
      <c r="E6" s="4" t="s">
        <v>13</v>
      </c>
      <c r="F6" s="4" t="s">
        <v>19</v>
      </c>
      <c r="G6" s="8">
        <f t="shared" si="0"/>
        <v>60</v>
      </c>
      <c r="H6" s="8">
        <f t="shared" si="1"/>
        <v>50</v>
      </c>
      <c r="I6" s="4">
        <f t="shared" ref="I6:I12" si="2">G6+H6</f>
        <v>110</v>
      </c>
      <c r="J6" s="7">
        <f>Resultados_paper!L5</f>
        <v>54</v>
      </c>
      <c r="K6" s="7">
        <f>Resultados_paper!M5</f>
        <v>56</v>
      </c>
      <c r="L6" s="7">
        <f>Resultados_paper!N5</f>
        <v>27</v>
      </c>
      <c r="M6" s="7">
        <f>Resultados_paper!O5</f>
        <v>33</v>
      </c>
      <c r="N6" s="7">
        <f>Resultados_paper!P5</f>
        <v>27</v>
      </c>
      <c r="O6" s="7">
        <f>Resultados_paper!Q5</f>
        <v>23</v>
      </c>
      <c r="P6" s="7">
        <f>Resultados_paper!R5</f>
        <v>433</v>
      </c>
    </row>
    <row r="7" spans="2:16" x14ac:dyDescent="0.3">
      <c r="B7" s="14">
        <v>4</v>
      </c>
      <c r="C7" s="4" t="s">
        <v>20</v>
      </c>
      <c r="D7" s="4" t="s">
        <v>13</v>
      </c>
      <c r="E7" s="4" t="s">
        <v>13</v>
      </c>
      <c r="F7" s="4" t="s">
        <v>21</v>
      </c>
      <c r="G7" s="8">
        <f t="shared" si="0"/>
        <v>45</v>
      </c>
      <c r="H7" s="8">
        <f t="shared" si="1"/>
        <v>55</v>
      </c>
      <c r="I7" s="4">
        <f>G7+H7</f>
        <v>100</v>
      </c>
      <c r="J7" s="7">
        <f>Resultados_paper!L6</f>
        <v>87</v>
      </c>
      <c r="K7" s="7">
        <f>Resultados_paper!M6</f>
        <v>8</v>
      </c>
      <c r="L7" s="7">
        <f>Resultados_paper!N6</f>
        <v>42</v>
      </c>
      <c r="M7" s="7">
        <f>Resultados_paper!O6</f>
        <v>3</v>
      </c>
      <c r="N7" s="7">
        <f>Resultados_paper!P6</f>
        <v>45</v>
      </c>
      <c r="O7" s="7">
        <f>Resultados_paper!Q6</f>
        <v>10</v>
      </c>
      <c r="P7" s="7">
        <f>Resultados_paper!R6</f>
        <v>198</v>
      </c>
    </row>
    <row r="8" spans="2:16" x14ac:dyDescent="0.3">
      <c r="B8" s="4">
        <v>5</v>
      </c>
      <c r="C8" s="5" t="s">
        <v>22</v>
      </c>
      <c r="D8" s="4" t="s">
        <v>13</v>
      </c>
      <c r="E8" s="4" t="s">
        <v>13</v>
      </c>
      <c r="F8" s="4" t="s">
        <v>23</v>
      </c>
      <c r="G8" s="8">
        <f t="shared" si="0"/>
        <v>29</v>
      </c>
      <c r="H8" s="8">
        <f t="shared" si="1"/>
        <v>70.333333333333329</v>
      </c>
      <c r="I8" s="9">
        <f t="shared" si="2"/>
        <v>99.333333333333329</v>
      </c>
      <c r="J8" s="7">
        <f>Resultados_paper!L7</f>
        <v>93</v>
      </c>
      <c r="K8" s="7">
        <f>Resultados_paper!M7</f>
        <v>6</v>
      </c>
      <c r="L8" s="7">
        <f>Resultados_paper!N7</f>
        <v>23</v>
      </c>
      <c r="M8" s="7">
        <f>Resultados_paper!O7</f>
        <v>6</v>
      </c>
      <c r="N8" s="7">
        <f>Resultados_paper!P7</f>
        <v>70</v>
      </c>
      <c r="O8" s="6">
        <f>Resultados_paper!Q7</f>
        <v>0.33333333333333331</v>
      </c>
      <c r="P8" s="7">
        <f>Resultados_paper!R7</f>
        <v>225</v>
      </c>
    </row>
    <row r="9" spans="2:16" x14ac:dyDescent="0.3">
      <c r="B9" s="4">
        <v>6</v>
      </c>
      <c r="C9" s="4" t="s">
        <v>24</v>
      </c>
      <c r="D9" s="4" t="s">
        <v>13</v>
      </c>
      <c r="E9" s="4" t="s">
        <v>13</v>
      </c>
      <c r="F9" s="4" t="s">
        <v>25</v>
      </c>
      <c r="G9" s="8"/>
      <c r="H9" s="8">
        <f>J9+K9</f>
        <v>100</v>
      </c>
      <c r="I9" s="4">
        <f t="shared" si="2"/>
        <v>100</v>
      </c>
      <c r="J9" s="7">
        <f>Resultados_paper!L8</f>
        <v>78.666666666666671</v>
      </c>
      <c r="K9" s="7">
        <f>Resultados_paper!M8</f>
        <v>21.333333333333332</v>
      </c>
      <c r="L9" s="7"/>
      <c r="M9" s="7"/>
      <c r="N9" s="7"/>
      <c r="O9" s="7"/>
      <c r="P9" s="7">
        <f>Resultados_paper!R8</f>
        <v>320.8</v>
      </c>
    </row>
    <row r="10" spans="2:16" x14ac:dyDescent="0.3">
      <c r="B10" s="4">
        <v>7</v>
      </c>
      <c r="C10" s="4" t="s">
        <v>26</v>
      </c>
      <c r="D10" s="4" t="s">
        <v>13</v>
      </c>
      <c r="E10" s="4" t="s">
        <v>13</v>
      </c>
      <c r="F10" s="4" t="s">
        <v>27</v>
      </c>
      <c r="G10" s="8">
        <f t="shared" si="0"/>
        <v>60</v>
      </c>
      <c r="H10" s="8">
        <f t="shared" si="1"/>
        <v>60</v>
      </c>
      <c r="I10" s="4">
        <f t="shared" si="2"/>
        <v>120</v>
      </c>
      <c r="J10" s="7">
        <f>Resultados_paper!L9</f>
        <v>89</v>
      </c>
      <c r="K10" s="7">
        <f>Resultados_paper!M9</f>
        <v>31</v>
      </c>
      <c r="L10" s="12">
        <f>Resultados_paper!N9</f>
        <v>47.333333333333336</v>
      </c>
      <c r="M10" s="12">
        <f>Resultados_paper!O9</f>
        <v>12.666666666666666</v>
      </c>
      <c r="N10" s="12">
        <f>Resultados_paper!P9</f>
        <v>41.666666666666664</v>
      </c>
      <c r="O10" s="12">
        <f>Resultados_paper!Q9</f>
        <v>18.333333333333332</v>
      </c>
      <c r="P10" s="7">
        <f>Resultados_paper!R9</f>
        <v>293.59999999999997</v>
      </c>
    </row>
    <row r="11" spans="2:16" x14ac:dyDescent="0.3">
      <c r="B11" s="4">
        <v>8</v>
      </c>
      <c r="C11" s="4" t="s">
        <v>28</v>
      </c>
      <c r="D11" s="4" t="s">
        <v>13</v>
      </c>
      <c r="E11" s="4" t="s">
        <v>13</v>
      </c>
      <c r="F11" s="4" t="s">
        <v>29</v>
      </c>
      <c r="G11" s="8">
        <f t="shared" si="0"/>
        <v>58.333333333333329</v>
      </c>
      <c r="H11" s="8">
        <f t="shared" si="1"/>
        <v>54.666666666666664</v>
      </c>
      <c r="I11" s="4">
        <f t="shared" si="2"/>
        <v>113</v>
      </c>
      <c r="J11" s="7">
        <f>Resultados_paper!L10</f>
        <v>101.33333333333333</v>
      </c>
      <c r="K11" s="7">
        <f>Resultados_paper!M10</f>
        <v>11.666666666666666</v>
      </c>
      <c r="L11" s="12">
        <f>Resultados_paper!N10</f>
        <v>50.666666666666664</v>
      </c>
      <c r="M11" s="12">
        <f>Resultados_paper!O10</f>
        <v>7.666666666666667</v>
      </c>
      <c r="N11" s="12">
        <f>Resultados_paper!P10</f>
        <v>50.666666666666664</v>
      </c>
      <c r="O11" s="12">
        <f>Resultados_paper!Q10</f>
        <v>4</v>
      </c>
      <c r="P11" s="7">
        <f>Resultados_paper!R10</f>
        <v>366.66666666666669</v>
      </c>
    </row>
    <row r="12" spans="2:16" x14ac:dyDescent="0.3">
      <c r="B12" s="14">
        <v>9</v>
      </c>
      <c r="C12" s="13" t="s">
        <v>30</v>
      </c>
      <c r="D12" s="4" t="s">
        <v>13</v>
      </c>
      <c r="E12" s="4" t="s">
        <v>13</v>
      </c>
      <c r="F12" s="3" t="s">
        <v>31</v>
      </c>
      <c r="G12" s="8">
        <f t="shared" si="0"/>
        <v>50</v>
      </c>
      <c r="H12" s="8">
        <f t="shared" si="1"/>
        <v>50</v>
      </c>
      <c r="I12" s="4">
        <f t="shared" si="2"/>
        <v>100</v>
      </c>
      <c r="J12" s="7">
        <f>Resultados_paper!L11</f>
        <v>99</v>
      </c>
      <c r="K12" s="7">
        <f>Resultados_paper!M11</f>
        <v>1</v>
      </c>
      <c r="L12" s="7">
        <f>Resultados_paper!N11</f>
        <v>49.333333333333336</v>
      </c>
      <c r="M12" s="7">
        <f>Resultados_paper!O11</f>
        <v>0.66666666666666663</v>
      </c>
      <c r="N12" s="7">
        <f>Resultados_paper!P11</f>
        <v>49.666666666666664</v>
      </c>
      <c r="O12" s="7">
        <f>Resultados_paper!Q11</f>
        <v>0.33333333333333331</v>
      </c>
      <c r="P12" s="7">
        <f>Resultados_paper!R11</f>
        <v>346.66666666666669</v>
      </c>
    </row>
  </sheetData>
  <mergeCells count="4">
    <mergeCell ref="J2:K2"/>
    <mergeCell ref="L2:M2"/>
    <mergeCell ref="N2:O2"/>
    <mergeCell ref="J1:P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8BD0-F22B-48CB-A8C2-5D204B1C5712}">
  <dimension ref="A1:R116"/>
  <sheetViews>
    <sheetView topLeftCell="A27" workbookViewId="0">
      <selection activeCell="C11" sqref="C11"/>
    </sheetView>
  </sheetViews>
  <sheetFormatPr baseColWidth="10" defaultColWidth="11.44140625" defaultRowHeight="14.4" x14ac:dyDescent="0.3"/>
  <cols>
    <col min="2" max="2" width="34.88671875" customWidth="1"/>
    <col min="6" max="6" width="8.88671875" bestFit="1" customWidth="1"/>
    <col min="7" max="7" width="13" bestFit="1" customWidth="1"/>
    <col min="10" max="10" width="13.6640625" bestFit="1" customWidth="1"/>
    <col min="11" max="11" width="28.33203125" bestFit="1" customWidth="1"/>
    <col min="12" max="12" width="23.44140625" bestFit="1" customWidth="1"/>
    <col min="13" max="13" width="26.109375" bestFit="1" customWidth="1"/>
    <col min="14" max="14" width="23.109375" bestFit="1" customWidth="1"/>
    <col min="15" max="15" width="25.6640625" bestFit="1" customWidth="1"/>
    <col min="16" max="16" width="19.88671875" bestFit="1" customWidth="1"/>
    <col min="17" max="17" width="22.6640625" bestFit="1" customWidth="1"/>
    <col min="18" max="18" width="27.88671875" bestFit="1" customWidth="1"/>
  </cols>
  <sheetData>
    <row r="1" spans="1:18" x14ac:dyDescent="0.3">
      <c r="A1" t="s">
        <v>32</v>
      </c>
      <c r="K1" t="s">
        <v>33</v>
      </c>
    </row>
    <row r="2" spans="1:18" x14ac:dyDescent="0.3">
      <c r="A2" t="s">
        <v>34</v>
      </c>
      <c r="B2" t="s">
        <v>35</v>
      </c>
      <c r="K2" t="str" cm="1">
        <f t="array" ref="K2:R2">TRANSPOSE(B4:B11)</f>
        <v>Individuos en el ambiente</v>
      </c>
      <c r="L2" t="str">
        <v>Número de individuos vivos</v>
      </c>
      <c r="M2" t="str">
        <v>Número de individuos muertos</v>
      </c>
      <c r="N2" t="str">
        <v>Número de pacientes vivos</v>
      </c>
      <c r="O2" t="str">
        <v>Número de pacientes muertos</v>
      </c>
      <c r="P2" t="str">
        <v>Número de sanos vivos</v>
      </c>
      <c r="Q2" t="str">
        <v>Número de sanos muertos</v>
      </c>
      <c r="R2" t="str">
        <v>Tiempo promedio de evacuación</v>
      </c>
    </row>
    <row r="3" spans="1:18" x14ac:dyDescent="0.3"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J3" t="s">
        <v>42</v>
      </c>
      <c r="K3" cm="1">
        <f t="array" ref="K3:R3">TRANSPOSE(F4:F11)</f>
        <v>100</v>
      </c>
      <c r="L3">
        <v>79</v>
      </c>
      <c r="M3">
        <v>21</v>
      </c>
      <c r="N3">
        <v>29</v>
      </c>
      <c r="O3">
        <v>11</v>
      </c>
      <c r="P3">
        <v>49</v>
      </c>
      <c r="Q3">
        <v>10.333333333333334</v>
      </c>
      <c r="R3">
        <v>352</v>
      </c>
    </row>
    <row r="4" spans="1:18" x14ac:dyDescent="0.3">
      <c r="B4" t="s">
        <v>43</v>
      </c>
      <c r="C4">
        <v>100</v>
      </c>
      <c r="D4">
        <v>100</v>
      </c>
      <c r="E4">
        <v>100</v>
      </c>
      <c r="F4" s="2">
        <f>AVERAGE(C4:E4)</f>
        <v>100</v>
      </c>
      <c r="G4" s="1">
        <f>_xlfn.STDEV.P(C4:E4)</f>
        <v>0</v>
      </c>
      <c r="J4" t="s">
        <v>44</v>
      </c>
      <c r="K4" cm="1">
        <f t="array" ref="K4:R4">TRANSPOSE(F15:F22)</f>
        <v>290</v>
      </c>
      <c r="L4">
        <v>234</v>
      </c>
      <c r="M4">
        <v>56</v>
      </c>
      <c r="N4">
        <v>68</v>
      </c>
      <c r="O4">
        <v>40</v>
      </c>
      <c r="P4">
        <v>166</v>
      </c>
      <c r="Q4">
        <v>16</v>
      </c>
      <c r="R4">
        <v>553</v>
      </c>
    </row>
    <row r="5" spans="1:18" x14ac:dyDescent="0.3">
      <c r="B5" t="s">
        <v>45</v>
      </c>
      <c r="C5">
        <v>75</v>
      </c>
      <c r="D5">
        <v>85</v>
      </c>
      <c r="E5">
        <v>77</v>
      </c>
      <c r="F5" s="2">
        <f t="shared" ref="F5:F11" si="0">AVERAGE(C5:E5)</f>
        <v>79</v>
      </c>
      <c r="G5" s="1">
        <f t="shared" ref="G5:G11" si="1">_xlfn.STDEV.P(C5:E5)</f>
        <v>4.3204937989385739</v>
      </c>
      <c r="J5" t="s">
        <v>46</v>
      </c>
      <c r="K5" cm="1">
        <f t="array" ref="K5:R5">TRANSPOSE(F26:F33)</f>
        <v>110</v>
      </c>
      <c r="L5">
        <v>54</v>
      </c>
      <c r="M5">
        <v>56</v>
      </c>
      <c r="N5">
        <v>27</v>
      </c>
      <c r="O5">
        <v>33</v>
      </c>
      <c r="P5">
        <v>27</v>
      </c>
      <c r="Q5">
        <v>23</v>
      </c>
      <c r="R5">
        <v>433</v>
      </c>
    </row>
    <row r="6" spans="1:18" x14ac:dyDescent="0.3">
      <c r="B6" t="s">
        <v>47</v>
      </c>
      <c r="C6">
        <v>25</v>
      </c>
      <c r="D6">
        <v>15</v>
      </c>
      <c r="E6">
        <v>23</v>
      </c>
      <c r="F6" s="2">
        <f t="shared" si="0"/>
        <v>21</v>
      </c>
      <c r="G6" s="1">
        <f t="shared" si="1"/>
        <v>4.3204937989385739</v>
      </c>
      <c r="J6" t="s">
        <v>48</v>
      </c>
      <c r="K6" cm="1">
        <f t="array" ref="K6:R6">TRANSPOSE(F37:F44)</f>
        <v>100</v>
      </c>
      <c r="L6">
        <v>87</v>
      </c>
      <c r="M6">
        <v>8</v>
      </c>
      <c r="N6">
        <v>42</v>
      </c>
      <c r="O6">
        <v>3</v>
      </c>
      <c r="P6">
        <v>45</v>
      </c>
      <c r="Q6">
        <v>10</v>
      </c>
      <c r="R6">
        <v>198</v>
      </c>
    </row>
    <row r="7" spans="1:18" x14ac:dyDescent="0.3">
      <c r="B7" t="s">
        <v>49</v>
      </c>
      <c r="C7">
        <v>28</v>
      </c>
      <c r="D7">
        <v>32</v>
      </c>
      <c r="E7">
        <v>27</v>
      </c>
      <c r="F7" s="2">
        <f t="shared" si="0"/>
        <v>29</v>
      </c>
      <c r="G7" s="1">
        <f t="shared" si="1"/>
        <v>2.1602468994692869</v>
      </c>
      <c r="J7" t="s">
        <v>50</v>
      </c>
      <c r="K7" cm="1">
        <f t="array" ref="K7:R7">TRANSPOSE(F48:F55)</f>
        <v>100</v>
      </c>
      <c r="L7">
        <v>93</v>
      </c>
      <c r="M7">
        <v>6</v>
      </c>
      <c r="N7">
        <v>23</v>
      </c>
      <c r="O7">
        <v>6</v>
      </c>
      <c r="P7">
        <v>70</v>
      </c>
      <c r="Q7">
        <v>0.33333333333333331</v>
      </c>
      <c r="R7">
        <v>225</v>
      </c>
    </row>
    <row r="8" spans="1:18" x14ac:dyDescent="0.3">
      <c r="B8" t="s">
        <v>51</v>
      </c>
      <c r="C8">
        <v>12</v>
      </c>
      <c r="D8">
        <v>8</v>
      </c>
      <c r="E8">
        <v>13</v>
      </c>
      <c r="F8" s="2">
        <f t="shared" si="0"/>
        <v>11</v>
      </c>
      <c r="G8" s="1">
        <f t="shared" si="1"/>
        <v>2.1602468994692869</v>
      </c>
      <c r="J8" t="s">
        <v>52</v>
      </c>
      <c r="K8" cm="1">
        <f t="array" ref="K8:R8">TRANSPOSE(F59:F66)</f>
        <v>100</v>
      </c>
      <c r="L8" s="10">
        <v>78.666666666666671</v>
      </c>
      <c r="M8" s="10">
        <v>21.333333333333332</v>
      </c>
      <c r="N8" s="10">
        <v>0</v>
      </c>
      <c r="O8" s="10">
        <v>0</v>
      </c>
      <c r="P8" s="10">
        <v>0</v>
      </c>
      <c r="Q8" s="10">
        <v>0</v>
      </c>
      <c r="R8" s="10">
        <v>320.8</v>
      </c>
    </row>
    <row r="9" spans="1:18" x14ac:dyDescent="0.3">
      <c r="B9" t="s">
        <v>53</v>
      </c>
      <c r="C9">
        <v>45</v>
      </c>
      <c r="D9">
        <v>52</v>
      </c>
      <c r="E9">
        <v>50</v>
      </c>
      <c r="F9" s="2">
        <f t="shared" si="0"/>
        <v>49</v>
      </c>
      <c r="G9" s="15">
        <f t="shared" si="1"/>
        <v>2.9439202887759488</v>
      </c>
      <c r="J9" t="s">
        <v>54</v>
      </c>
      <c r="K9" cm="1">
        <f t="array" ref="K9:R9">TRANSPOSE(F70:F77)</f>
        <v>120</v>
      </c>
      <c r="L9">
        <v>89</v>
      </c>
      <c r="M9">
        <v>31</v>
      </c>
      <c r="N9">
        <v>47.333333333333336</v>
      </c>
      <c r="O9">
        <v>12.666666666666666</v>
      </c>
      <c r="P9">
        <v>41.666666666666664</v>
      </c>
      <c r="Q9">
        <v>18.333333333333332</v>
      </c>
      <c r="R9">
        <v>293.59999999999997</v>
      </c>
    </row>
    <row r="10" spans="1:18" x14ac:dyDescent="0.3">
      <c r="B10" t="s">
        <v>55</v>
      </c>
      <c r="C10">
        <v>13</v>
      </c>
      <c r="D10">
        <v>8</v>
      </c>
      <c r="E10">
        <v>10</v>
      </c>
      <c r="F10" s="2">
        <f t="shared" si="0"/>
        <v>10.333333333333334</v>
      </c>
      <c r="G10" s="15">
        <f t="shared" si="1"/>
        <v>2.0548046676563256</v>
      </c>
      <c r="J10" t="s">
        <v>56</v>
      </c>
      <c r="K10" cm="1">
        <f t="array" ref="K10:R10">TRANSPOSE(F98:F105)</f>
        <v>113</v>
      </c>
      <c r="L10">
        <v>101.33333333333333</v>
      </c>
      <c r="M10">
        <v>11.666666666666666</v>
      </c>
      <c r="N10">
        <v>50.666666666666664</v>
      </c>
      <c r="O10">
        <v>7.666666666666667</v>
      </c>
      <c r="P10">
        <v>50.666666666666664</v>
      </c>
      <c r="Q10">
        <v>4</v>
      </c>
      <c r="R10">
        <v>366.66666666666669</v>
      </c>
    </row>
    <row r="11" spans="1:18" x14ac:dyDescent="0.3">
      <c r="B11" t="s">
        <v>57</v>
      </c>
      <c r="C11">
        <v>352</v>
      </c>
      <c r="D11">
        <v>345</v>
      </c>
      <c r="E11">
        <v>359</v>
      </c>
      <c r="F11" s="2">
        <f t="shared" si="0"/>
        <v>352</v>
      </c>
      <c r="G11" s="1">
        <f t="shared" si="1"/>
        <v>5.715476066494082</v>
      </c>
      <c r="J11" t="s">
        <v>58</v>
      </c>
      <c r="K11" cm="1">
        <f t="array" ref="K11:R11">TRANSPOSE(F109:F116)</f>
        <v>100</v>
      </c>
      <c r="L11">
        <v>99</v>
      </c>
      <c r="M11">
        <v>1</v>
      </c>
      <c r="N11">
        <v>49.333333333333336</v>
      </c>
      <c r="O11">
        <v>0.66666666666666663</v>
      </c>
      <c r="P11">
        <v>49.666666666666664</v>
      </c>
      <c r="Q11">
        <v>0.33333333333333331</v>
      </c>
      <c r="R11">
        <v>346.66666666666669</v>
      </c>
    </row>
    <row r="13" spans="1:18" x14ac:dyDescent="0.3">
      <c r="A13" t="s">
        <v>59</v>
      </c>
      <c r="B13" t="s">
        <v>60</v>
      </c>
    </row>
    <row r="14" spans="1:18" x14ac:dyDescent="0.3"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</row>
    <row r="15" spans="1:18" x14ac:dyDescent="0.3">
      <c r="B15" t="s">
        <v>43</v>
      </c>
      <c r="C15">
        <v>290</v>
      </c>
      <c r="D15">
        <v>290</v>
      </c>
      <c r="E15">
        <v>290</v>
      </c>
      <c r="F15" s="2">
        <f>AVERAGE(C15:E15)</f>
        <v>290</v>
      </c>
      <c r="G15" s="1">
        <f>_xlfn.STDEV.P(C15:E15)</f>
        <v>0</v>
      </c>
    </row>
    <row r="16" spans="1:18" x14ac:dyDescent="0.3">
      <c r="B16" t="s">
        <v>45</v>
      </c>
      <c r="C16">
        <v>230</v>
      </c>
      <c r="D16">
        <v>235</v>
      </c>
      <c r="E16">
        <v>237</v>
      </c>
      <c r="F16" s="2">
        <f t="shared" ref="F16:F22" si="2">AVERAGE(C16:E16)</f>
        <v>234</v>
      </c>
      <c r="G16" s="1">
        <f t="shared" ref="G16:G22" si="3">_xlfn.STDEV.P(C16:E16)</f>
        <v>2.9439202887759488</v>
      </c>
    </row>
    <row r="17" spans="1:7" x14ac:dyDescent="0.3">
      <c r="B17" t="s">
        <v>47</v>
      </c>
      <c r="C17">
        <v>58</v>
      </c>
      <c r="D17">
        <v>57</v>
      </c>
      <c r="E17">
        <v>53</v>
      </c>
      <c r="F17" s="2">
        <f t="shared" si="2"/>
        <v>56</v>
      </c>
      <c r="G17" s="1">
        <f t="shared" si="3"/>
        <v>2.1602468994692869</v>
      </c>
    </row>
    <row r="18" spans="1:7" x14ac:dyDescent="0.3">
      <c r="B18" t="s">
        <v>49</v>
      </c>
      <c r="C18">
        <v>65</v>
      </c>
      <c r="D18">
        <v>70</v>
      </c>
      <c r="E18">
        <v>69</v>
      </c>
      <c r="F18" s="2">
        <f t="shared" si="2"/>
        <v>68</v>
      </c>
      <c r="G18" s="1">
        <f t="shared" si="3"/>
        <v>2.1602468994692869</v>
      </c>
    </row>
    <row r="19" spans="1:7" x14ac:dyDescent="0.3">
      <c r="B19" t="s">
        <v>51</v>
      </c>
      <c r="C19">
        <v>42</v>
      </c>
      <c r="D19">
        <v>37</v>
      </c>
      <c r="E19">
        <v>41</v>
      </c>
      <c r="F19" s="2">
        <f t="shared" si="2"/>
        <v>40</v>
      </c>
      <c r="G19" s="1">
        <f t="shared" si="3"/>
        <v>2.1602468994692869</v>
      </c>
    </row>
    <row r="20" spans="1:7" x14ac:dyDescent="0.3">
      <c r="B20" t="s">
        <v>53</v>
      </c>
      <c r="C20">
        <v>160</v>
      </c>
      <c r="D20">
        <v>168</v>
      </c>
      <c r="E20">
        <v>170</v>
      </c>
      <c r="F20" s="2">
        <f t="shared" si="2"/>
        <v>166</v>
      </c>
      <c r="G20" s="1">
        <f t="shared" si="3"/>
        <v>4.3204937989385739</v>
      </c>
    </row>
    <row r="21" spans="1:7" x14ac:dyDescent="0.3">
      <c r="B21" t="s">
        <v>55</v>
      </c>
      <c r="C21">
        <v>19</v>
      </c>
      <c r="D21">
        <v>14</v>
      </c>
      <c r="E21">
        <v>15</v>
      </c>
      <c r="F21" s="2">
        <f t="shared" si="2"/>
        <v>16</v>
      </c>
      <c r="G21" s="1">
        <f t="shared" si="3"/>
        <v>2.1602468994692869</v>
      </c>
    </row>
    <row r="22" spans="1:7" x14ac:dyDescent="0.3">
      <c r="B22" t="s">
        <v>57</v>
      </c>
      <c r="C22">
        <v>555</v>
      </c>
      <c r="D22">
        <v>570</v>
      </c>
      <c r="E22">
        <v>534</v>
      </c>
      <c r="F22" s="2">
        <f t="shared" si="2"/>
        <v>553</v>
      </c>
      <c r="G22" s="1">
        <f t="shared" si="3"/>
        <v>14.7648230602334</v>
      </c>
    </row>
    <row r="24" spans="1:7" x14ac:dyDescent="0.3">
      <c r="A24" t="s">
        <v>61</v>
      </c>
      <c r="B24" t="s">
        <v>62</v>
      </c>
    </row>
    <row r="25" spans="1:7" x14ac:dyDescent="0.3"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</row>
    <row r="26" spans="1:7" x14ac:dyDescent="0.3">
      <c r="B26" t="s">
        <v>43</v>
      </c>
      <c r="C26">
        <v>110</v>
      </c>
      <c r="D26">
        <v>110</v>
      </c>
      <c r="E26">
        <v>110</v>
      </c>
      <c r="F26" s="2">
        <f>AVERAGE(C26:E26)</f>
        <v>110</v>
      </c>
      <c r="G26" s="1">
        <f>_xlfn.STDEV.P(C26:E26)</f>
        <v>0</v>
      </c>
    </row>
    <row r="27" spans="1:7" x14ac:dyDescent="0.3">
      <c r="B27" t="s">
        <v>45</v>
      </c>
      <c r="C27">
        <v>57</v>
      </c>
      <c r="D27">
        <v>50</v>
      </c>
      <c r="E27">
        <v>55</v>
      </c>
      <c r="F27" s="2">
        <f t="shared" ref="F27:F33" si="4">AVERAGE(C27:E27)</f>
        <v>54</v>
      </c>
      <c r="G27" s="1">
        <f t="shared" ref="G27:G33" si="5">_xlfn.STDEV.P(C27:E27)</f>
        <v>2.9439202887759488</v>
      </c>
    </row>
    <row r="28" spans="1:7" x14ac:dyDescent="0.3">
      <c r="B28" t="s">
        <v>47</v>
      </c>
      <c r="C28">
        <v>57</v>
      </c>
      <c r="D28">
        <v>58</v>
      </c>
      <c r="E28">
        <v>53</v>
      </c>
      <c r="F28" s="2">
        <f t="shared" si="4"/>
        <v>56</v>
      </c>
      <c r="G28" s="1">
        <f t="shared" si="5"/>
        <v>2.1602468994692869</v>
      </c>
    </row>
    <row r="29" spans="1:7" x14ac:dyDescent="0.3">
      <c r="B29" t="s">
        <v>49</v>
      </c>
      <c r="C29">
        <v>23</v>
      </c>
      <c r="D29">
        <v>30</v>
      </c>
      <c r="E29">
        <v>28</v>
      </c>
      <c r="F29" s="2">
        <f t="shared" si="4"/>
        <v>27</v>
      </c>
      <c r="G29" s="1">
        <f t="shared" si="5"/>
        <v>2.9439202887759488</v>
      </c>
    </row>
    <row r="30" spans="1:7" x14ac:dyDescent="0.3">
      <c r="B30" t="s">
        <v>51</v>
      </c>
      <c r="C30">
        <v>30</v>
      </c>
      <c r="D30">
        <v>35</v>
      </c>
      <c r="E30">
        <v>34</v>
      </c>
      <c r="F30" s="2">
        <f t="shared" si="4"/>
        <v>33</v>
      </c>
      <c r="G30" s="1">
        <f t="shared" si="5"/>
        <v>2.1602468994692869</v>
      </c>
    </row>
    <row r="31" spans="1:7" x14ac:dyDescent="0.3">
      <c r="B31" t="s">
        <v>53</v>
      </c>
      <c r="C31">
        <v>28</v>
      </c>
      <c r="D31">
        <v>25</v>
      </c>
      <c r="E31">
        <v>28</v>
      </c>
      <c r="F31" s="2">
        <f t="shared" si="4"/>
        <v>27</v>
      </c>
      <c r="G31" s="1">
        <f t="shared" si="5"/>
        <v>1.4142135623730951</v>
      </c>
    </row>
    <row r="32" spans="1:7" x14ac:dyDescent="0.3">
      <c r="B32" t="s">
        <v>55</v>
      </c>
      <c r="C32">
        <v>22</v>
      </c>
      <c r="D32">
        <v>25</v>
      </c>
      <c r="E32">
        <v>22</v>
      </c>
      <c r="F32" s="2">
        <f t="shared" si="4"/>
        <v>23</v>
      </c>
      <c r="G32" s="1">
        <f t="shared" si="5"/>
        <v>1.4142135623730951</v>
      </c>
    </row>
    <row r="33" spans="1:7" x14ac:dyDescent="0.3">
      <c r="B33" t="s">
        <v>57</v>
      </c>
      <c r="C33">
        <v>436</v>
      </c>
      <c r="D33">
        <v>435</v>
      </c>
      <c r="E33">
        <v>428</v>
      </c>
      <c r="F33" s="2">
        <f t="shared" si="4"/>
        <v>433</v>
      </c>
      <c r="G33" s="1">
        <f t="shared" si="5"/>
        <v>3.5590260840104371</v>
      </c>
    </row>
    <row r="35" spans="1:7" x14ac:dyDescent="0.3">
      <c r="A35" t="s">
        <v>63</v>
      </c>
      <c r="B35" t="s">
        <v>64</v>
      </c>
    </row>
    <row r="36" spans="1:7" x14ac:dyDescent="0.3"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</row>
    <row r="37" spans="1:7" x14ac:dyDescent="0.3">
      <c r="B37" t="s">
        <v>43</v>
      </c>
      <c r="C37">
        <v>100</v>
      </c>
      <c r="D37">
        <v>100</v>
      </c>
      <c r="E37">
        <v>100</v>
      </c>
      <c r="F37" s="2">
        <f>AVERAGE(C37:E37)</f>
        <v>100</v>
      </c>
      <c r="G37" s="1">
        <f>_xlfn.STDEV.P(C37:E37)</f>
        <v>0</v>
      </c>
    </row>
    <row r="38" spans="1:7" x14ac:dyDescent="0.3">
      <c r="B38" t="s">
        <v>45</v>
      </c>
      <c r="C38">
        <v>88</v>
      </c>
      <c r="D38">
        <v>90</v>
      </c>
      <c r="E38">
        <v>83</v>
      </c>
      <c r="F38" s="2">
        <f t="shared" ref="F38:F44" si="6">AVERAGE(C38:E38)</f>
        <v>87</v>
      </c>
      <c r="G38" s="1">
        <f t="shared" ref="G38:G44" si="7">_xlfn.STDEV.P(C38:E38)</f>
        <v>2.9439202887759488</v>
      </c>
    </row>
    <row r="39" spans="1:7" x14ac:dyDescent="0.3">
      <c r="B39" t="s">
        <v>47</v>
      </c>
      <c r="C39">
        <v>9</v>
      </c>
      <c r="D39">
        <v>1</v>
      </c>
      <c r="E39">
        <v>14</v>
      </c>
      <c r="F39" s="2">
        <f t="shared" si="6"/>
        <v>8</v>
      </c>
      <c r="G39" s="1">
        <f t="shared" si="7"/>
        <v>5.3541261347363367</v>
      </c>
    </row>
    <row r="40" spans="1:7" x14ac:dyDescent="0.3">
      <c r="B40" t="s">
        <v>49</v>
      </c>
      <c r="C40">
        <v>43</v>
      </c>
      <c r="D40">
        <v>44</v>
      </c>
      <c r="E40">
        <v>39</v>
      </c>
      <c r="F40" s="2">
        <f t="shared" si="6"/>
        <v>42</v>
      </c>
      <c r="G40" s="1">
        <f t="shared" si="7"/>
        <v>2.1602468994692869</v>
      </c>
    </row>
    <row r="41" spans="1:7" x14ac:dyDescent="0.3">
      <c r="B41" t="s">
        <v>51</v>
      </c>
      <c r="C41">
        <v>2</v>
      </c>
      <c r="D41">
        <v>4</v>
      </c>
      <c r="E41">
        <v>3</v>
      </c>
      <c r="F41" s="2">
        <f t="shared" si="6"/>
        <v>3</v>
      </c>
      <c r="G41" s="1">
        <f t="shared" si="7"/>
        <v>0.81649658092772603</v>
      </c>
    </row>
    <row r="42" spans="1:7" x14ac:dyDescent="0.3">
      <c r="B42" t="s">
        <v>53</v>
      </c>
      <c r="C42">
        <v>47</v>
      </c>
      <c r="D42">
        <v>42</v>
      </c>
      <c r="E42">
        <v>46</v>
      </c>
      <c r="F42" s="2">
        <f t="shared" si="6"/>
        <v>45</v>
      </c>
      <c r="G42" s="1">
        <f t="shared" si="7"/>
        <v>2.1602468994692869</v>
      </c>
    </row>
    <row r="43" spans="1:7" x14ac:dyDescent="0.3">
      <c r="B43" t="s">
        <v>55</v>
      </c>
      <c r="C43">
        <v>8</v>
      </c>
      <c r="D43">
        <v>13</v>
      </c>
      <c r="E43">
        <v>9</v>
      </c>
      <c r="F43" s="2">
        <f t="shared" si="6"/>
        <v>10</v>
      </c>
      <c r="G43" s="1">
        <f t="shared" si="7"/>
        <v>2.1602468994692869</v>
      </c>
    </row>
    <row r="44" spans="1:7" x14ac:dyDescent="0.3">
      <c r="B44" t="s">
        <v>57</v>
      </c>
      <c r="C44">
        <v>194</v>
      </c>
      <c r="D44">
        <v>199</v>
      </c>
      <c r="E44">
        <v>201</v>
      </c>
      <c r="F44" s="2">
        <f t="shared" si="6"/>
        <v>198</v>
      </c>
      <c r="G44" s="1">
        <f t="shared" si="7"/>
        <v>2.9439202887759488</v>
      </c>
    </row>
    <row r="46" spans="1:7" x14ac:dyDescent="0.3">
      <c r="A46" t="s">
        <v>65</v>
      </c>
      <c r="B46" t="s">
        <v>66</v>
      </c>
    </row>
    <row r="47" spans="1:7" x14ac:dyDescent="0.3"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</row>
    <row r="48" spans="1:7" x14ac:dyDescent="0.3">
      <c r="B48" t="s">
        <v>43</v>
      </c>
      <c r="C48">
        <v>100</v>
      </c>
      <c r="D48">
        <v>100</v>
      </c>
      <c r="E48">
        <v>100</v>
      </c>
      <c r="F48" s="2">
        <f>AVERAGE(C48:E48)</f>
        <v>100</v>
      </c>
      <c r="G48" s="1">
        <f>_xlfn.STDEV.P(C48:E48)</f>
        <v>0</v>
      </c>
    </row>
    <row r="49" spans="1:7" x14ac:dyDescent="0.3">
      <c r="B49" t="s">
        <v>45</v>
      </c>
      <c r="C49">
        <v>95</v>
      </c>
      <c r="D49">
        <v>94</v>
      </c>
      <c r="E49">
        <v>90</v>
      </c>
      <c r="F49" s="2">
        <f t="shared" ref="F49:F55" si="8">AVERAGE(C49:E49)</f>
        <v>93</v>
      </c>
      <c r="G49" s="1">
        <f t="shared" ref="G49:G55" si="9">_xlfn.STDEV.P(C49:E49)</f>
        <v>2.1602468994692869</v>
      </c>
    </row>
    <row r="50" spans="1:7" x14ac:dyDescent="0.3">
      <c r="B50" t="s">
        <v>47</v>
      </c>
      <c r="C50">
        <v>5</v>
      </c>
      <c r="D50">
        <v>6</v>
      </c>
      <c r="E50">
        <v>7</v>
      </c>
      <c r="F50" s="2">
        <f t="shared" si="8"/>
        <v>6</v>
      </c>
      <c r="G50" s="1">
        <f t="shared" si="9"/>
        <v>0.81649658092772603</v>
      </c>
    </row>
    <row r="51" spans="1:7" x14ac:dyDescent="0.3">
      <c r="B51" t="s">
        <v>49</v>
      </c>
      <c r="C51">
        <v>20</v>
      </c>
      <c r="D51">
        <v>24</v>
      </c>
      <c r="E51">
        <v>25</v>
      </c>
      <c r="F51" s="2">
        <f t="shared" si="8"/>
        <v>23</v>
      </c>
      <c r="G51" s="1">
        <f t="shared" si="9"/>
        <v>2.1602468994692869</v>
      </c>
    </row>
    <row r="52" spans="1:7" x14ac:dyDescent="0.3">
      <c r="B52" t="s">
        <v>51</v>
      </c>
      <c r="C52">
        <v>5</v>
      </c>
      <c r="D52">
        <v>9</v>
      </c>
      <c r="E52">
        <v>4</v>
      </c>
      <c r="F52" s="2">
        <f t="shared" si="8"/>
        <v>6</v>
      </c>
      <c r="G52" s="1">
        <f t="shared" si="9"/>
        <v>2.1602468994692869</v>
      </c>
    </row>
    <row r="53" spans="1:7" x14ac:dyDescent="0.3">
      <c r="B53" t="s">
        <v>53</v>
      </c>
      <c r="C53">
        <v>73</v>
      </c>
      <c r="D53">
        <v>69</v>
      </c>
      <c r="E53">
        <v>68</v>
      </c>
      <c r="F53" s="2">
        <f t="shared" si="8"/>
        <v>70</v>
      </c>
      <c r="G53" s="1">
        <f t="shared" si="9"/>
        <v>2.1602468994692869</v>
      </c>
    </row>
    <row r="54" spans="1:7" x14ac:dyDescent="0.3">
      <c r="B54" t="s">
        <v>55</v>
      </c>
      <c r="C54">
        <v>0</v>
      </c>
      <c r="D54">
        <v>1</v>
      </c>
      <c r="E54">
        <v>0</v>
      </c>
      <c r="F54" s="2">
        <f t="shared" si="8"/>
        <v>0.33333333333333331</v>
      </c>
      <c r="G54" s="1">
        <f t="shared" si="9"/>
        <v>0.47140452079103168</v>
      </c>
    </row>
    <row r="55" spans="1:7" x14ac:dyDescent="0.3">
      <c r="B55" t="s">
        <v>57</v>
      </c>
      <c r="C55">
        <v>228</v>
      </c>
      <c r="D55">
        <v>223</v>
      </c>
      <c r="E55">
        <v>224</v>
      </c>
      <c r="F55" s="2">
        <f t="shared" si="8"/>
        <v>225</v>
      </c>
      <c r="G55" s="1">
        <f t="shared" si="9"/>
        <v>2.1602468994692869</v>
      </c>
    </row>
    <row r="57" spans="1:7" x14ac:dyDescent="0.3">
      <c r="A57" t="s">
        <v>67</v>
      </c>
      <c r="B57" t="s">
        <v>68</v>
      </c>
    </row>
    <row r="58" spans="1:7" x14ac:dyDescent="0.3">
      <c r="B58" t="s">
        <v>36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</row>
    <row r="59" spans="1:7" x14ac:dyDescent="0.3">
      <c r="B59" t="s">
        <v>43</v>
      </c>
      <c r="C59">
        <v>100</v>
      </c>
      <c r="D59">
        <v>100</v>
      </c>
      <c r="E59">
        <v>100</v>
      </c>
      <c r="F59" s="2">
        <f>AVERAGE(C59:E59)</f>
        <v>100</v>
      </c>
      <c r="G59" s="1">
        <f>_xlfn.STDEV.P(C59:E59)</f>
        <v>0</v>
      </c>
    </row>
    <row r="60" spans="1:7" x14ac:dyDescent="0.3">
      <c r="B60" t="s">
        <v>45</v>
      </c>
      <c r="C60">
        <v>71</v>
      </c>
      <c r="D60">
        <v>86</v>
      </c>
      <c r="E60">
        <v>79</v>
      </c>
      <c r="F60" s="2">
        <f t="shared" ref="F60:F66" si="10">AVERAGE(C60:E60)</f>
        <v>78.666666666666671</v>
      </c>
      <c r="G60" s="1">
        <f t="shared" ref="G60:G66" si="11">_xlfn.STDEV.P(C60:E60)</f>
        <v>6.1282587702834119</v>
      </c>
    </row>
    <row r="61" spans="1:7" x14ac:dyDescent="0.3">
      <c r="B61" t="s">
        <v>47</v>
      </c>
      <c r="C61">
        <v>29</v>
      </c>
      <c r="D61">
        <v>14</v>
      </c>
      <c r="E61">
        <v>21</v>
      </c>
      <c r="F61" s="2">
        <f t="shared" si="10"/>
        <v>21.333333333333332</v>
      </c>
      <c r="G61" s="1">
        <f t="shared" si="11"/>
        <v>6.1282587702834119</v>
      </c>
    </row>
    <row r="62" spans="1:7" x14ac:dyDescent="0.3">
      <c r="B62" t="s">
        <v>49</v>
      </c>
      <c r="F62" s="2"/>
      <c r="G62" s="1"/>
    </row>
    <row r="63" spans="1:7" x14ac:dyDescent="0.3">
      <c r="B63" t="s">
        <v>51</v>
      </c>
      <c r="F63" s="2"/>
      <c r="G63" s="1"/>
    </row>
    <row r="64" spans="1:7" x14ac:dyDescent="0.3">
      <c r="B64" t="s">
        <v>53</v>
      </c>
      <c r="F64" s="2"/>
      <c r="G64" s="1"/>
    </row>
    <row r="65" spans="1:7" x14ac:dyDescent="0.3">
      <c r="B65" t="s">
        <v>55</v>
      </c>
      <c r="F65" s="2"/>
      <c r="G65" s="1"/>
    </row>
    <row r="66" spans="1:7" x14ac:dyDescent="0.3">
      <c r="B66" t="s">
        <v>57</v>
      </c>
      <c r="C66">
        <v>361.2</v>
      </c>
      <c r="D66">
        <v>331.8</v>
      </c>
      <c r="E66">
        <v>269.39999999999998</v>
      </c>
      <c r="F66" s="2">
        <f t="shared" si="10"/>
        <v>320.8</v>
      </c>
      <c r="G66" s="1">
        <f t="shared" si="11"/>
        <v>38.275840944386651</v>
      </c>
    </row>
    <row r="68" spans="1:7" x14ac:dyDescent="0.3">
      <c r="A68" t="s">
        <v>69</v>
      </c>
      <c r="B68" t="s">
        <v>70</v>
      </c>
    </row>
    <row r="69" spans="1:7" x14ac:dyDescent="0.3">
      <c r="B69" t="s">
        <v>36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</row>
    <row r="70" spans="1:7" x14ac:dyDescent="0.3">
      <c r="B70" t="s">
        <v>43</v>
      </c>
      <c r="C70">
        <v>120</v>
      </c>
      <c r="D70">
        <v>120</v>
      </c>
      <c r="E70">
        <v>120</v>
      </c>
      <c r="F70" s="2">
        <f>AVERAGE(C70:E70)</f>
        <v>120</v>
      </c>
      <c r="G70" s="1">
        <f>_xlfn.STDEV.P(C70:E70)</f>
        <v>0</v>
      </c>
    </row>
    <row r="71" spans="1:7" x14ac:dyDescent="0.3">
      <c r="B71" t="s">
        <v>45</v>
      </c>
      <c r="C71">
        <v>96</v>
      </c>
      <c r="D71">
        <v>89</v>
      </c>
      <c r="E71">
        <v>82</v>
      </c>
      <c r="F71" s="2">
        <f t="shared" ref="F71:F77" si="12">AVERAGE(C71:E71)</f>
        <v>89</v>
      </c>
      <c r="G71" s="1">
        <f t="shared" ref="G71:G77" si="13">_xlfn.STDEV.P(C71:E71)</f>
        <v>5.715476066494082</v>
      </c>
    </row>
    <row r="72" spans="1:7" x14ac:dyDescent="0.3">
      <c r="B72" t="s">
        <v>47</v>
      </c>
      <c r="C72">
        <v>24</v>
      </c>
      <c r="D72">
        <v>31</v>
      </c>
      <c r="E72">
        <v>38</v>
      </c>
      <c r="F72" s="2">
        <f t="shared" si="12"/>
        <v>31</v>
      </c>
      <c r="G72" s="1">
        <f t="shared" si="13"/>
        <v>5.715476066494082</v>
      </c>
    </row>
    <row r="73" spans="1:7" x14ac:dyDescent="0.3">
      <c r="A73" s="11" t="s">
        <v>71</v>
      </c>
      <c r="B73" t="s">
        <v>72</v>
      </c>
      <c r="C73">
        <v>55</v>
      </c>
      <c r="D73">
        <v>43</v>
      </c>
      <c r="E73">
        <v>44</v>
      </c>
      <c r="F73" s="2">
        <f>AVERAGE(C73:E73)</f>
        <v>47.333333333333336</v>
      </c>
      <c r="G73" s="1">
        <f>_xlfn.STDEV.P(C73:E73)</f>
        <v>5.4365021434333638</v>
      </c>
    </row>
    <row r="74" spans="1:7" x14ac:dyDescent="0.3">
      <c r="A74" t="s">
        <v>73</v>
      </c>
      <c r="B74" t="s">
        <v>74</v>
      </c>
      <c r="C74">
        <v>5</v>
      </c>
      <c r="D74">
        <v>17</v>
      </c>
      <c r="E74">
        <v>16</v>
      </c>
      <c r="F74" s="2">
        <f>AVERAGE(C74:E74)</f>
        <v>12.666666666666666</v>
      </c>
      <c r="G74" s="1">
        <f>_xlfn.STDEV.P(C74:E74)</f>
        <v>5.4365021434333638</v>
      </c>
    </row>
    <row r="75" spans="1:7" x14ac:dyDescent="0.3">
      <c r="A75" t="s">
        <v>75</v>
      </c>
      <c r="B75" t="s">
        <v>76</v>
      </c>
      <c r="C75">
        <v>41</v>
      </c>
      <c r="D75">
        <v>46</v>
      </c>
      <c r="E75">
        <v>38</v>
      </c>
      <c r="F75" s="2">
        <f>AVERAGE(C75:E75)</f>
        <v>41.666666666666664</v>
      </c>
      <c r="G75" s="1">
        <f>_xlfn.STDEV.P(C75:E75)</f>
        <v>3.2998316455372221</v>
      </c>
    </row>
    <row r="76" spans="1:7" x14ac:dyDescent="0.3">
      <c r="A76" t="s">
        <v>77</v>
      </c>
      <c r="B76" t="s">
        <v>78</v>
      </c>
      <c r="C76">
        <v>19</v>
      </c>
      <c r="D76">
        <v>14</v>
      </c>
      <c r="E76">
        <v>22</v>
      </c>
      <c r="F76" s="2">
        <f>AVERAGE(C76:E76)</f>
        <v>18.333333333333332</v>
      </c>
      <c r="G76" s="1">
        <f>_xlfn.STDEV.P(C76:E76)</f>
        <v>3.2998316455372216</v>
      </c>
    </row>
    <row r="77" spans="1:7" x14ac:dyDescent="0.3">
      <c r="B77" t="s">
        <v>57</v>
      </c>
      <c r="C77">
        <v>321</v>
      </c>
      <c r="D77">
        <v>259.8</v>
      </c>
      <c r="E77">
        <v>300</v>
      </c>
      <c r="F77" s="2">
        <f t="shared" si="12"/>
        <v>293.59999999999997</v>
      </c>
      <c r="G77" s="1">
        <f t="shared" si="13"/>
        <v>25.391337105398758</v>
      </c>
    </row>
    <row r="79" spans="1:7" x14ac:dyDescent="0.3">
      <c r="A79" t="s">
        <v>79</v>
      </c>
      <c r="B79" t="s">
        <v>80</v>
      </c>
    </row>
    <row r="80" spans="1:7" x14ac:dyDescent="0.3">
      <c r="B80" t="s">
        <v>36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</row>
    <row r="81" spans="1:7" x14ac:dyDescent="0.3">
      <c r="B81" t="s">
        <v>43</v>
      </c>
      <c r="C81">
        <v>114</v>
      </c>
      <c r="D81">
        <v>117</v>
      </c>
      <c r="E81">
        <v>108</v>
      </c>
      <c r="F81" s="2">
        <f>AVERAGE(C81:E81)</f>
        <v>113</v>
      </c>
      <c r="G81" s="1">
        <f>_xlfn.STDEV.P(C81:E81)</f>
        <v>3.7416573867739413</v>
      </c>
    </row>
    <row r="82" spans="1:7" x14ac:dyDescent="0.3">
      <c r="B82" t="s">
        <v>45</v>
      </c>
      <c r="C82">
        <v>101</v>
      </c>
      <c r="D82">
        <v>109</v>
      </c>
      <c r="E82">
        <v>94</v>
      </c>
      <c r="F82" s="2">
        <f t="shared" ref="F82:F83" si="14">AVERAGE(C82:E82)</f>
        <v>101.33333333333333</v>
      </c>
      <c r="G82" s="1">
        <f t="shared" ref="G82:G83" si="15">_xlfn.STDEV.P(C82:E82)</f>
        <v>6.128258770283411</v>
      </c>
    </row>
    <row r="83" spans="1:7" x14ac:dyDescent="0.3">
      <c r="B83" t="s">
        <v>47</v>
      </c>
      <c r="C83">
        <v>13</v>
      </c>
      <c r="D83">
        <v>8</v>
      </c>
      <c r="E83">
        <v>14</v>
      </c>
      <c r="F83" s="2">
        <f t="shared" si="14"/>
        <v>11.666666666666666</v>
      </c>
      <c r="G83" s="1">
        <f t="shared" si="15"/>
        <v>2.6246692913372702</v>
      </c>
    </row>
    <row r="84" spans="1:7" x14ac:dyDescent="0.3">
      <c r="A84" s="11"/>
      <c r="B84" t="s">
        <v>81</v>
      </c>
      <c r="C84">
        <v>20</v>
      </c>
      <c r="D84">
        <v>17</v>
      </c>
      <c r="E84">
        <v>18</v>
      </c>
      <c r="F84" s="2">
        <f>AVERAGE(C84:E84)</f>
        <v>18.333333333333332</v>
      </c>
      <c r="G84" s="1">
        <f>_xlfn.STDEV.P(C84:E84)</f>
        <v>1.247219128924647</v>
      </c>
    </row>
    <row r="85" spans="1:7" x14ac:dyDescent="0.3">
      <c r="B85" t="s">
        <v>82</v>
      </c>
      <c r="C85">
        <v>14</v>
      </c>
      <c r="D85">
        <v>21</v>
      </c>
      <c r="E85">
        <v>9</v>
      </c>
      <c r="F85" s="2">
        <f>AVERAGE(C85:E85)</f>
        <v>14.666666666666666</v>
      </c>
      <c r="G85" s="1">
        <f>_xlfn.STDEV.P(C85:E85)</f>
        <v>4.9216076867444665</v>
      </c>
    </row>
    <row r="86" spans="1:7" x14ac:dyDescent="0.3">
      <c r="B86" t="s">
        <v>83</v>
      </c>
      <c r="C86">
        <v>39</v>
      </c>
      <c r="D86">
        <v>40</v>
      </c>
      <c r="E86">
        <v>37</v>
      </c>
      <c r="F86" s="2">
        <f>AVERAGE(C86:E86)</f>
        <v>38.666666666666664</v>
      </c>
      <c r="G86" s="1">
        <f>_xlfn.STDEV.P(C86:E86)</f>
        <v>1.247219128924647</v>
      </c>
    </row>
    <row r="87" spans="1:7" x14ac:dyDescent="0.3">
      <c r="B87" t="s">
        <v>84</v>
      </c>
      <c r="C87">
        <v>11</v>
      </c>
      <c r="D87">
        <v>18</v>
      </c>
      <c r="E87">
        <v>7</v>
      </c>
      <c r="F87" s="2">
        <f t="shared" ref="F87:F94" si="16">AVERAGE(C87:E87)</f>
        <v>12</v>
      </c>
      <c r="G87" s="1">
        <f t="shared" ref="G87:G93" si="17">_xlfn.STDEV.P(C87:E87)</f>
        <v>4.5460605656619517</v>
      </c>
    </row>
    <row r="88" spans="1:7" x14ac:dyDescent="0.3">
      <c r="B88" t="s">
        <v>85</v>
      </c>
      <c r="C88">
        <v>36</v>
      </c>
      <c r="D88">
        <v>39</v>
      </c>
      <c r="E88">
        <v>36</v>
      </c>
      <c r="F88" s="2">
        <f t="shared" si="16"/>
        <v>37</v>
      </c>
      <c r="G88" s="1">
        <f t="shared" si="17"/>
        <v>1.4142135623730951</v>
      </c>
    </row>
    <row r="89" spans="1:7" x14ac:dyDescent="0.3">
      <c r="B89" t="s">
        <v>86</v>
      </c>
      <c r="C89">
        <v>15</v>
      </c>
      <c r="D89">
        <v>12</v>
      </c>
      <c r="E89">
        <v>14</v>
      </c>
      <c r="F89" s="2">
        <f t="shared" si="16"/>
        <v>13.666666666666666</v>
      </c>
      <c r="G89" s="1">
        <f t="shared" si="17"/>
        <v>1.247219128924647</v>
      </c>
    </row>
    <row r="90" spans="1:7" x14ac:dyDescent="0.3">
      <c r="B90" t="s">
        <v>87</v>
      </c>
      <c r="C90">
        <v>1</v>
      </c>
      <c r="D90">
        <v>0</v>
      </c>
      <c r="E90">
        <v>3</v>
      </c>
      <c r="F90" s="2">
        <f t="shared" si="16"/>
        <v>1.3333333333333333</v>
      </c>
      <c r="G90" s="1">
        <f t="shared" si="17"/>
        <v>1.247219128924647</v>
      </c>
    </row>
    <row r="91" spans="1:7" x14ac:dyDescent="0.3">
      <c r="B91" t="s">
        <v>88</v>
      </c>
      <c r="C91">
        <v>3</v>
      </c>
      <c r="D91">
        <v>3</v>
      </c>
      <c r="E91">
        <v>2</v>
      </c>
      <c r="F91" s="2">
        <f t="shared" si="16"/>
        <v>2.6666666666666665</v>
      </c>
      <c r="G91" s="1">
        <f t="shared" si="17"/>
        <v>0.47140452079103168</v>
      </c>
    </row>
    <row r="92" spans="1:7" x14ac:dyDescent="0.3">
      <c r="B92" t="s">
        <v>89</v>
      </c>
      <c r="C92">
        <v>4</v>
      </c>
      <c r="D92">
        <v>1</v>
      </c>
      <c r="E92">
        <v>3</v>
      </c>
      <c r="F92" s="2">
        <f t="shared" si="16"/>
        <v>2.6666666666666665</v>
      </c>
      <c r="G92" s="1">
        <f t="shared" si="17"/>
        <v>1.247219128924647</v>
      </c>
    </row>
    <row r="93" spans="1:7" x14ac:dyDescent="0.3">
      <c r="B93" t="s">
        <v>90</v>
      </c>
      <c r="C93">
        <v>5</v>
      </c>
      <c r="D93">
        <v>4</v>
      </c>
      <c r="E93">
        <v>6</v>
      </c>
      <c r="F93" s="2">
        <f t="shared" si="16"/>
        <v>5</v>
      </c>
      <c r="G93" s="1">
        <f t="shared" si="17"/>
        <v>0.81649658092772603</v>
      </c>
    </row>
    <row r="94" spans="1:7" x14ac:dyDescent="0.3">
      <c r="B94" t="s">
        <v>57</v>
      </c>
      <c r="C94">
        <v>410</v>
      </c>
      <c r="D94">
        <v>320</v>
      </c>
      <c r="E94">
        <v>370</v>
      </c>
      <c r="F94" s="2">
        <f t="shared" si="16"/>
        <v>366.66666666666669</v>
      </c>
      <c r="G94" s="1">
        <f t="shared" ref="G94" si="18">_xlfn.STDEV.P(C94:E94)</f>
        <v>36.817870057290868</v>
      </c>
    </row>
    <row r="96" spans="1:7" x14ac:dyDescent="0.3">
      <c r="B96" t="s">
        <v>91</v>
      </c>
    </row>
    <row r="97" spans="1:7" x14ac:dyDescent="0.3">
      <c r="B97" t="s">
        <v>36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</row>
    <row r="98" spans="1:7" x14ac:dyDescent="0.3">
      <c r="B98" t="s">
        <v>43</v>
      </c>
      <c r="C98">
        <v>114</v>
      </c>
      <c r="D98">
        <v>117</v>
      </c>
      <c r="E98">
        <v>108</v>
      </c>
      <c r="F98" s="2">
        <f>AVERAGE(C98:E98)</f>
        <v>113</v>
      </c>
      <c r="G98" s="1">
        <f>_xlfn.STDEV.P(C98:E98)</f>
        <v>3.7416573867739413</v>
      </c>
    </row>
    <row r="99" spans="1:7" x14ac:dyDescent="0.3">
      <c r="B99" t="s">
        <v>45</v>
      </c>
      <c r="C99">
        <v>101</v>
      </c>
      <c r="D99">
        <v>109</v>
      </c>
      <c r="E99">
        <v>94</v>
      </c>
      <c r="F99" s="2">
        <f t="shared" ref="F99:F105" si="19">AVERAGE(C99:E99)</f>
        <v>101.33333333333333</v>
      </c>
      <c r="G99" s="1">
        <f t="shared" ref="G99:G105" si="20">_xlfn.STDEV.P(C99:E99)</f>
        <v>6.128258770283411</v>
      </c>
    </row>
    <row r="100" spans="1:7" x14ac:dyDescent="0.3">
      <c r="B100" t="s">
        <v>47</v>
      </c>
      <c r="C100">
        <v>13</v>
      </c>
      <c r="D100">
        <v>8</v>
      </c>
      <c r="E100">
        <v>14</v>
      </c>
      <c r="F100" s="2">
        <f t="shared" si="19"/>
        <v>11.666666666666666</v>
      </c>
      <c r="G100" s="1">
        <f t="shared" si="20"/>
        <v>2.6246692913372702</v>
      </c>
    </row>
    <row r="101" spans="1:7" x14ac:dyDescent="0.3">
      <c r="B101" t="s">
        <v>49</v>
      </c>
      <c r="C101">
        <f>C88+C89</f>
        <v>51</v>
      </c>
      <c r="D101">
        <f t="shared" ref="D101:E101" si="21">D88+D89</f>
        <v>51</v>
      </c>
      <c r="E101">
        <f t="shared" si="21"/>
        <v>50</v>
      </c>
      <c r="F101" s="2">
        <f t="shared" si="19"/>
        <v>50.666666666666664</v>
      </c>
      <c r="G101" s="1">
        <f t="shared" si="20"/>
        <v>0.47140452079103168</v>
      </c>
    </row>
    <row r="102" spans="1:7" x14ac:dyDescent="0.3">
      <c r="B102" t="s">
        <v>51</v>
      </c>
      <c r="C102">
        <f>C92+C93</f>
        <v>9</v>
      </c>
      <c r="D102">
        <f t="shared" ref="D102:E102" si="22">D92+D93</f>
        <v>5</v>
      </c>
      <c r="E102">
        <f t="shared" si="22"/>
        <v>9</v>
      </c>
      <c r="F102" s="2">
        <f t="shared" si="19"/>
        <v>7.666666666666667</v>
      </c>
      <c r="G102" s="1">
        <f t="shared" si="20"/>
        <v>1.8856180831641267</v>
      </c>
    </row>
    <row r="103" spans="1:7" x14ac:dyDescent="0.3">
      <c r="B103" t="s">
        <v>53</v>
      </c>
      <c r="C103">
        <f>C86+C87</f>
        <v>50</v>
      </c>
      <c r="D103">
        <f t="shared" ref="D103:E103" si="23">D86+D87</f>
        <v>58</v>
      </c>
      <c r="E103">
        <f t="shared" si="23"/>
        <v>44</v>
      </c>
      <c r="F103" s="2">
        <f t="shared" si="19"/>
        <v>50.666666666666664</v>
      </c>
      <c r="G103" s="1">
        <f t="shared" si="20"/>
        <v>5.7348835113617511</v>
      </c>
    </row>
    <row r="104" spans="1:7" x14ac:dyDescent="0.3">
      <c r="B104" t="s">
        <v>55</v>
      </c>
      <c r="C104">
        <f>C90+C91</f>
        <v>4</v>
      </c>
      <c r="D104">
        <f t="shared" ref="D104:E104" si="24">D90+D91</f>
        <v>3</v>
      </c>
      <c r="E104">
        <f t="shared" si="24"/>
        <v>5</v>
      </c>
      <c r="F104" s="2">
        <f t="shared" si="19"/>
        <v>4</v>
      </c>
      <c r="G104" s="1">
        <f t="shared" si="20"/>
        <v>0.81649658092772603</v>
      </c>
    </row>
    <row r="105" spans="1:7" x14ac:dyDescent="0.3">
      <c r="B105" t="s">
        <v>57</v>
      </c>
      <c r="C105">
        <v>410</v>
      </c>
      <c r="D105">
        <v>320</v>
      </c>
      <c r="E105">
        <v>370</v>
      </c>
      <c r="F105" s="2">
        <f t="shared" si="19"/>
        <v>366.66666666666669</v>
      </c>
      <c r="G105" s="1">
        <f t="shared" si="20"/>
        <v>36.817870057290868</v>
      </c>
    </row>
    <row r="107" spans="1:7" x14ac:dyDescent="0.3">
      <c r="A107" t="s">
        <v>92</v>
      </c>
      <c r="B107" t="s">
        <v>93</v>
      </c>
    </row>
    <row r="108" spans="1:7" x14ac:dyDescent="0.3">
      <c r="B108" t="s">
        <v>36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</row>
    <row r="109" spans="1:7" x14ac:dyDescent="0.3">
      <c r="B109" t="s">
        <v>43</v>
      </c>
      <c r="C109">
        <v>100</v>
      </c>
      <c r="D109">
        <v>100</v>
      </c>
      <c r="E109">
        <v>100</v>
      </c>
      <c r="F109" s="2">
        <f>AVERAGE(C109:E109)</f>
        <v>100</v>
      </c>
      <c r="G109" s="1">
        <f>_xlfn.STDEV.P(C109:E109)</f>
        <v>0</v>
      </c>
    </row>
    <row r="110" spans="1:7" x14ac:dyDescent="0.3">
      <c r="B110" t="s">
        <v>45</v>
      </c>
      <c r="C110">
        <f>C112+C114</f>
        <v>99</v>
      </c>
      <c r="D110">
        <f t="shared" ref="D110:E110" si="25">D112+D114</f>
        <v>99</v>
      </c>
      <c r="E110">
        <f t="shared" si="25"/>
        <v>99</v>
      </c>
      <c r="F110" s="2">
        <f t="shared" ref="F110:F116" si="26">AVERAGE(C110:E110)</f>
        <v>99</v>
      </c>
      <c r="G110" s="1">
        <f t="shared" ref="G110:G116" si="27">_xlfn.STDEV.P(C110:E110)</f>
        <v>0</v>
      </c>
    </row>
    <row r="111" spans="1:7" x14ac:dyDescent="0.3">
      <c r="B111" t="s">
        <v>47</v>
      </c>
      <c r="C111">
        <f>C113+C115</f>
        <v>1</v>
      </c>
      <c r="D111">
        <f t="shared" ref="D111:E111" si="28">D113+D115</f>
        <v>1</v>
      </c>
      <c r="E111">
        <f t="shared" si="28"/>
        <v>1</v>
      </c>
      <c r="F111" s="2">
        <f t="shared" si="26"/>
        <v>1</v>
      </c>
      <c r="G111" s="1">
        <f t="shared" si="27"/>
        <v>0</v>
      </c>
    </row>
    <row r="112" spans="1:7" x14ac:dyDescent="0.3">
      <c r="B112" t="s">
        <v>49</v>
      </c>
      <c r="C112">
        <v>49</v>
      </c>
      <c r="D112">
        <v>50</v>
      </c>
      <c r="E112">
        <v>49</v>
      </c>
      <c r="F112" s="2">
        <f t="shared" si="26"/>
        <v>49.333333333333336</v>
      </c>
      <c r="G112" s="1">
        <f t="shared" si="27"/>
        <v>0.47140452079103168</v>
      </c>
    </row>
    <row r="113" spans="2:7" x14ac:dyDescent="0.3">
      <c r="B113" t="s">
        <v>51</v>
      </c>
      <c r="C113">
        <v>1</v>
      </c>
      <c r="D113">
        <v>0</v>
      </c>
      <c r="E113">
        <v>1</v>
      </c>
      <c r="F113" s="2">
        <f t="shared" si="26"/>
        <v>0.66666666666666663</v>
      </c>
      <c r="G113" s="1">
        <f t="shared" si="27"/>
        <v>0.47140452079103168</v>
      </c>
    </row>
    <row r="114" spans="2:7" x14ac:dyDescent="0.3">
      <c r="B114" t="s">
        <v>53</v>
      </c>
      <c r="C114">
        <v>50</v>
      </c>
      <c r="D114">
        <v>49</v>
      </c>
      <c r="E114">
        <v>50</v>
      </c>
      <c r="F114" s="2">
        <f t="shared" si="26"/>
        <v>49.666666666666664</v>
      </c>
      <c r="G114" s="1">
        <f t="shared" si="27"/>
        <v>0.47140452079103168</v>
      </c>
    </row>
    <row r="115" spans="2:7" x14ac:dyDescent="0.3">
      <c r="B115" t="s">
        <v>55</v>
      </c>
      <c r="C115">
        <v>0</v>
      </c>
      <c r="D115">
        <v>1</v>
      </c>
      <c r="E115">
        <v>0</v>
      </c>
      <c r="F115" s="2">
        <f t="shared" si="26"/>
        <v>0.33333333333333331</v>
      </c>
      <c r="G115" s="1">
        <f t="shared" si="27"/>
        <v>0.47140452079103168</v>
      </c>
    </row>
    <row r="116" spans="2:7" x14ac:dyDescent="0.3">
      <c r="B116" t="s">
        <v>57</v>
      </c>
      <c r="C116">
        <v>355</v>
      </c>
      <c r="D116">
        <v>318</v>
      </c>
      <c r="E116">
        <v>367</v>
      </c>
      <c r="F116" s="2">
        <f t="shared" si="26"/>
        <v>346.66666666666669</v>
      </c>
      <c r="G116" s="1">
        <f t="shared" si="27"/>
        <v>20.853989759489401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B191-E079-4C50-A0CE-87EC0182E365}">
  <dimension ref="B1:Q12"/>
  <sheetViews>
    <sheetView topLeftCell="E1" zoomScaleNormal="100" workbookViewId="0">
      <selection activeCell="N8" sqref="N8"/>
    </sheetView>
  </sheetViews>
  <sheetFormatPr baseColWidth="10" defaultColWidth="8.88671875" defaultRowHeight="14.4" x14ac:dyDescent="0.3"/>
  <cols>
    <col min="2" max="2" width="10.6640625" bestFit="1" customWidth="1"/>
    <col min="3" max="3" width="103" bestFit="1" customWidth="1"/>
    <col min="4" max="5" width="18.33203125" customWidth="1"/>
    <col min="6" max="6" width="48" bestFit="1" customWidth="1"/>
    <col min="7" max="7" width="10.33203125" customWidth="1"/>
    <col min="11" max="11" width="9.88671875" bestFit="1" customWidth="1"/>
    <col min="17" max="17" width="19.88671875" bestFit="1" customWidth="1"/>
  </cols>
  <sheetData>
    <row r="1" spans="2:17" x14ac:dyDescent="0.3">
      <c r="K1" s="17" t="s">
        <v>94</v>
      </c>
      <c r="L1" s="17"/>
      <c r="M1" s="17"/>
      <c r="N1" s="17"/>
      <c r="O1" s="17"/>
      <c r="P1" s="17"/>
      <c r="Q1" s="17"/>
    </row>
    <row r="2" spans="2:17" x14ac:dyDescent="0.3">
      <c r="K2" s="17" t="s">
        <v>1</v>
      </c>
      <c r="L2" s="17"/>
      <c r="M2" s="17" t="s">
        <v>2</v>
      </c>
      <c r="N2" s="17"/>
      <c r="O2" s="17" t="s">
        <v>3</v>
      </c>
      <c r="P2" s="17"/>
      <c r="Q2" s="3"/>
    </row>
    <row r="3" spans="2:17" x14ac:dyDescent="0.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95</v>
      </c>
      <c r="H3" s="3" t="s">
        <v>2</v>
      </c>
      <c r="I3" s="3" t="s">
        <v>3</v>
      </c>
      <c r="J3" s="3" t="s">
        <v>1</v>
      </c>
      <c r="K3" s="3" t="s">
        <v>9</v>
      </c>
      <c r="L3" s="3" t="s">
        <v>10</v>
      </c>
      <c r="M3" s="3" t="s">
        <v>9</v>
      </c>
      <c r="N3" s="3" t="s">
        <v>10</v>
      </c>
      <c r="O3" s="3" t="s">
        <v>9</v>
      </c>
      <c r="P3" s="3" t="s">
        <v>10</v>
      </c>
      <c r="Q3" s="3" t="s">
        <v>11</v>
      </c>
    </row>
    <row r="4" spans="2:17" x14ac:dyDescent="0.3">
      <c r="B4" s="16">
        <v>1</v>
      </c>
      <c r="C4" s="5" t="s">
        <v>12</v>
      </c>
      <c r="D4" s="5" t="s">
        <v>13</v>
      </c>
      <c r="E4" s="5" t="s">
        <v>13</v>
      </c>
      <c r="F4" s="4" t="s">
        <v>96</v>
      </c>
      <c r="G4" s="4">
        <v>95</v>
      </c>
      <c r="H4" s="8">
        <f>SUM(M4:N4)</f>
        <v>40</v>
      </c>
      <c r="I4" s="8">
        <f>SUM(O4:P4)</f>
        <v>60</v>
      </c>
      <c r="J4" s="8">
        <f>H4+I4</f>
        <v>100</v>
      </c>
      <c r="K4" s="7">
        <f>Resultados_net_logo!N3</f>
        <v>89.8</v>
      </c>
      <c r="L4" s="7">
        <f>Resultados_net_logo!O3</f>
        <v>10.199999999999999</v>
      </c>
      <c r="M4" s="7">
        <f>Resultados_net_logo!P3</f>
        <v>35.799999999999997</v>
      </c>
      <c r="N4" s="7">
        <f>Resultados_net_logo!Q3</f>
        <v>4.2</v>
      </c>
      <c r="O4" s="7">
        <f>Resultados_net_logo!R3</f>
        <v>54</v>
      </c>
      <c r="P4" s="7">
        <f>Resultados_net_logo!S3</f>
        <v>6</v>
      </c>
      <c r="Q4" s="7">
        <f>Resultados_net_logo!T3</f>
        <v>50.6</v>
      </c>
    </row>
    <row r="5" spans="2:17" x14ac:dyDescent="0.3">
      <c r="B5" s="16">
        <v>2</v>
      </c>
      <c r="C5" s="4" t="s">
        <v>15</v>
      </c>
      <c r="D5" s="4" t="s">
        <v>13</v>
      </c>
      <c r="E5" s="4" t="s">
        <v>13</v>
      </c>
      <c r="F5" s="4" t="s">
        <v>16</v>
      </c>
      <c r="G5" s="4">
        <v>95</v>
      </c>
      <c r="H5" s="8">
        <f>SUM(M5:N5)</f>
        <v>108</v>
      </c>
      <c r="I5" s="8">
        <f t="shared" ref="I5:I12" si="0">SUM(O5:P5)</f>
        <v>182</v>
      </c>
      <c r="J5" s="8">
        <f>H5+I5</f>
        <v>290</v>
      </c>
      <c r="K5" s="7">
        <f>Resultados_net_logo!N4</f>
        <v>221.4</v>
      </c>
      <c r="L5" s="7">
        <f>Resultados_net_logo!O4</f>
        <v>68.599999999999994</v>
      </c>
      <c r="M5" s="7">
        <f>Resultados_net_logo!P4</f>
        <v>79.2</v>
      </c>
      <c r="N5" s="7">
        <f>Resultados_net_logo!Q4</f>
        <v>28.8</v>
      </c>
      <c r="O5" s="7">
        <f>Resultados_net_logo!R4</f>
        <v>142.19999999999999</v>
      </c>
      <c r="P5" s="7">
        <f>Resultados_net_logo!S4</f>
        <v>39.799999999999997</v>
      </c>
      <c r="Q5" s="7">
        <f>Resultados_net_logo!T4</f>
        <v>71.599999999999994</v>
      </c>
    </row>
    <row r="6" spans="2:17" x14ac:dyDescent="0.3">
      <c r="B6" s="16">
        <v>3</v>
      </c>
      <c r="C6" s="4" t="s">
        <v>17</v>
      </c>
      <c r="D6" s="4" t="s">
        <v>18</v>
      </c>
      <c r="E6" s="4" t="s">
        <v>13</v>
      </c>
      <c r="F6" s="4" t="s">
        <v>19</v>
      </c>
      <c r="G6" s="4">
        <v>95</v>
      </c>
      <c r="H6" s="8">
        <f t="shared" ref="H6:H12" si="1">SUM(M6:N6)</f>
        <v>60</v>
      </c>
      <c r="I6" s="8">
        <f t="shared" si="0"/>
        <v>50</v>
      </c>
      <c r="J6" s="8">
        <f t="shared" ref="J6:J12" si="2">H6+I6</f>
        <v>110</v>
      </c>
      <c r="K6" s="7">
        <f>Resultados_net_logo!N5</f>
        <v>81.2</v>
      </c>
      <c r="L6" s="7">
        <f>Resultados_net_logo!O5</f>
        <v>28.8</v>
      </c>
      <c r="M6" s="7">
        <f>Resultados_net_logo!P5</f>
        <v>40.200000000000003</v>
      </c>
      <c r="N6" s="7">
        <f>Resultados_net_logo!Q5</f>
        <v>19.8</v>
      </c>
      <c r="O6" s="7">
        <f>Resultados_net_logo!R5</f>
        <v>41</v>
      </c>
      <c r="P6" s="7">
        <f>Resultados_net_logo!S5</f>
        <v>9</v>
      </c>
      <c r="Q6" s="7">
        <f>Resultados_net_logo!T5</f>
        <v>36</v>
      </c>
    </row>
    <row r="7" spans="2:17" x14ac:dyDescent="0.3">
      <c r="B7" s="16">
        <v>4</v>
      </c>
      <c r="C7" s="4" t="s">
        <v>20</v>
      </c>
      <c r="D7" s="4" t="s">
        <v>13</v>
      </c>
      <c r="E7" s="4" t="s">
        <v>13</v>
      </c>
      <c r="F7" s="4" t="s">
        <v>21</v>
      </c>
      <c r="G7" s="4">
        <v>95</v>
      </c>
      <c r="H7" s="8">
        <f t="shared" si="1"/>
        <v>45</v>
      </c>
      <c r="I7" s="8">
        <f t="shared" si="0"/>
        <v>55</v>
      </c>
      <c r="J7" s="8">
        <f>H7+I7</f>
        <v>100</v>
      </c>
      <c r="K7" s="7">
        <f>Resultados_net_logo!N6</f>
        <v>93.8</v>
      </c>
      <c r="L7" s="7">
        <f>Resultados_net_logo!O6</f>
        <v>6.2</v>
      </c>
      <c r="M7" s="7">
        <f>Resultados_net_logo!P6</f>
        <v>40.4</v>
      </c>
      <c r="N7" s="7">
        <f>Resultados_net_logo!Q6</f>
        <v>4.5999999999999996</v>
      </c>
      <c r="O7" s="7">
        <f>Resultados_net_logo!R6</f>
        <v>53.4</v>
      </c>
      <c r="P7" s="7">
        <f>Resultados_net_logo!S6</f>
        <v>1.6</v>
      </c>
      <c r="Q7" s="7">
        <f>Resultados_net_logo!T6</f>
        <v>41.2</v>
      </c>
    </row>
    <row r="8" spans="2:17" x14ac:dyDescent="0.3">
      <c r="B8" s="16">
        <v>5</v>
      </c>
      <c r="C8" s="5" t="s">
        <v>22</v>
      </c>
      <c r="D8" s="4" t="s">
        <v>13</v>
      </c>
      <c r="E8" s="4" t="s">
        <v>13</v>
      </c>
      <c r="F8" s="4" t="s">
        <v>23</v>
      </c>
      <c r="G8" s="4">
        <v>95</v>
      </c>
      <c r="H8" s="8">
        <f t="shared" si="1"/>
        <v>40</v>
      </c>
      <c r="I8" s="8">
        <f t="shared" si="0"/>
        <v>60</v>
      </c>
      <c r="J8" s="8">
        <f t="shared" si="2"/>
        <v>100</v>
      </c>
      <c r="K8" s="7">
        <f>Resultados_net_logo!N7</f>
        <v>91.4</v>
      </c>
      <c r="L8" s="7">
        <f>Resultados_net_logo!O7</f>
        <v>8.6</v>
      </c>
      <c r="M8" s="7">
        <f>Resultados_net_logo!P7</f>
        <v>35.4</v>
      </c>
      <c r="N8" s="7">
        <f>Resultados_net_logo!Q7</f>
        <v>4.5999999999999996</v>
      </c>
      <c r="O8" s="7">
        <f>Resultados_net_logo!R7</f>
        <v>56</v>
      </c>
      <c r="P8" s="7">
        <f>Resultados_net_logo!S7</f>
        <v>4</v>
      </c>
      <c r="Q8" s="7">
        <f>Resultados_net_logo!T7</f>
        <v>28.6</v>
      </c>
    </row>
    <row r="9" spans="2:17" x14ac:dyDescent="0.3">
      <c r="B9" s="16">
        <v>6</v>
      </c>
      <c r="C9" s="4" t="s">
        <v>24</v>
      </c>
      <c r="D9" s="4" t="s">
        <v>13</v>
      </c>
      <c r="E9" s="4" t="s">
        <v>13</v>
      </c>
      <c r="F9" s="4" t="s">
        <v>97</v>
      </c>
      <c r="G9" s="4">
        <v>95</v>
      </c>
      <c r="H9" s="8"/>
      <c r="I9" s="8">
        <f>K9+L9</f>
        <v>100</v>
      </c>
      <c r="J9" s="8">
        <f t="shared" si="2"/>
        <v>100</v>
      </c>
      <c r="K9" s="7">
        <f>Resultados_net_logo!N8</f>
        <v>86.4</v>
      </c>
      <c r="L9" s="7">
        <f>Resultados_net_logo!O8</f>
        <v>13.6</v>
      </c>
      <c r="M9" s="7"/>
      <c r="N9" s="7"/>
      <c r="O9" s="7"/>
      <c r="P9" s="7"/>
      <c r="Q9" s="7">
        <f>Resultados_net_logo!T8</f>
        <v>48.6</v>
      </c>
    </row>
    <row r="10" spans="2:17" x14ac:dyDescent="0.3">
      <c r="B10" s="16">
        <v>7</v>
      </c>
      <c r="C10" s="4" t="s">
        <v>26</v>
      </c>
      <c r="D10" s="4" t="s">
        <v>13</v>
      </c>
      <c r="E10" s="4" t="s">
        <v>13</v>
      </c>
      <c r="F10" s="4" t="s">
        <v>27</v>
      </c>
      <c r="G10" s="4">
        <v>95</v>
      </c>
      <c r="H10" s="8">
        <f t="shared" si="1"/>
        <v>60.800000000000004</v>
      </c>
      <c r="I10" s="8">
        <f t="shared" si="0"/>
        <v>59.2</v>
      </c>
      <c r="J10" s="8">
        <f t="shared" si="2"/>
        <v>120</v>
      </c>
      <c r="K10" s="7">
        <f>Resultados_net_logo!N9</f>
        <v>101</v>
      </c>
      <c r="L10" s="7">
        <f>Resultados_net_logo!O9</f>
        <v>19</v>
      </c>
      <c r="M10" s="12">
        <f>Resultados_net_logo!P9</f>
        <v>55.6</v>
      </c>
      <c r="N10" s="12">
        <f>Resultados_net_logo!Q9</f>
        <v>5.2</v>
      </c>
      <c r="O10" s="12">
        <f>Resultados_net_logo!R9</f>
        <v>45.4</v>
      </c>
      <c r="P10" s="12">
        <f>Resultados_net_logo!S9</f>
        <v>13.8</v>
      </c>
      <c r="Q10" s="7">
        <f>Resultados_net_logo!T9</f>
        <v>48.8</v>
      </c>
    </row>
    <row r="11" spans="2:17" x14ac:dyDescent="0.3">
      <c r="B11" s="16">
        <v>8</v>
      </c>
      <c r="C11" s="4" t="s">
        <v>28</v>
      </c>
      <c r="D11" s="4" t="s">
        <v>13</v>
      </c>
      <c r="E11" s="4" t="s">
        <v>13</v>
      </c>
      <c r="F11" s="4" t="s">
        <v>29</v>
      </c>
      <c r="G11" s="4">
        <v>95</v>
      </c>
      <c r="H11" s="8">
        <f t="shared" si="1"/>
        <v>58</v>
      </c>
      <c r="I11" s="8">
        <f t="shared" si="0"/>
        <v>55</v>
      </c>
      <c r="J11" s="8">
        <f t="shared" si="2"/>
        <v>113</v>
      </c>
      <c r="K11" s="7">
        <f>Resultados_net_logo!N10</f>
        <v>97.8</v>
      </c>
      <c r="L11" s="7">
        <f>Resultados_net_logo!O10</f>
        <v>15.2</v>
      </c>
      <c r="M11" s="12">
        <f>Resultados_net_logo!P10</f>
        <v>47.2</v>
      </c>
      <c r="N11" s="12">
        <f>Resultados_net_logo!Q10</f>
        <v>10.8</v>
      </c>
      <c r="O11" s="12">
        <f>Resultados_net_logo!R10</f>
        <v>50.6</v>
      </c>
      <c r="P11" s="12">
        <f>Resultados_net_logo!S10</f>
        <v>4.4000000000000004</v>
      </c>
      <c r="Q11" s="7">
        <f>Resultados_net_logo!T10</f>
        <v>54</v>
      </c>
    </row>
    <row r="12" spans="2:17" x14ac:dyDescent="0.3">
      <c r="B12" s="16">
        <v>9</v>
      </c>
      <c r="C12" s="13" t="s">
        <v>30</v>
      </c>
      <c r="D12" s="4" t="s">
        <v>13</v>
      </c>
      <c r="E12" s="4" t="s">
        <v>13</v>
      </c>
      <c r="F12" s="3" t="s">
        <v>31</v>
      </c>
      <c r="G12" s="4">
        <v>95</v>
      </c>
      <c r="H12" s="8">
        <f t="shared" si="1"/>
        <v>50</v>
      </c>
      <c r="I12" s="8">
        <f t="shared" si="0"/>
        <v>50</v>
      </c>
      <c r="J12" s="8">
        <f t="shared" si="2"/>
        <v>100</v>
      </c>
      <c r="K12" s="7">
        <f>Resultados_net_logo!N11</f>
        <v>97.2</v>
      </c>
      <c r="L12" s="7">
        <f>Resultados_net_logo!O11</f>
        <v>2.8</v>
      </c>
      <c r="M12" s="7">
        <f>Resultados_net_logo!P11</f>
        <v>47.8</v>
      </c>
      <c r="N12" s="7">
        <f>Resultados_net_logo!Q11</f>
        <v>2.2000000000000002</v>
      </c>
      <c r="O12" s="7">
        <f>Resultados_net_logo!R11</f>
        <v>49.4</v>
      </c>
      <c r="P12" s="7">
        <f>Resultados_net_logo!S11</f>
        <v>0.6</v>
      </c>
      <c r="Q12" s="7">
        <f>Resultados_net_logo!T11</f>
        <v>35.200000000000003</v>
      </c>
    </row>
  </sheetData>
  <mergeCells count="4">
    <mergeCell ref="K1:Q1"/>
    <mergeCell ref="K2:L2"/>
    <mergeCell ref="M2:N2"/>
    <mergeCell ref="O2:P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0ED9-94F0-4395-B017-8508AF1A6488}">
  <dimension ref="A1:V126"/>
  <sheetViews>
    <sheetView showGridLines="0" tabSelected="1" topLeftCell="A51" workbookViewId="0">
      <selection activeCell="B63" sqref="B63:J71"/>
    </sheetView>
  </sheetViews>
  <sheetFormatPr baseColWidth="10" defaultColWidth="11.44140625" defaultRowHeight="14.4" x14ac:dyDescent="0.3"/>
  <cols>
    <col min="1" max="1" width="11.5546875" style="18" bestFit="1" customWidth="1"/>
    <col min="2" max="2" width="34.88671875" style="18" customWidth="1"/>
    <col min="3" max="7" width="5.77734375" style="19" customWidth="1"/>
    <col min="8" max="8" width="9.77734375" style="19" customWidth="1"/>
    <col min="9" max="9" width="2" style="19" bestFit="1" customWidth="1"/>
    <col min="10" max="10" width="7.77734375" style="19" bestFit="1" customWidth="1"/>
    <col min="11" max="11" width="11.5546875" bestFit="1" customWidth="1"/>
    <col min="12" max="12" width="17.33203125" customWidth="1"/>
    <col min="13" max="13" width="11.5546875" bestFit="1" customWidth="1"/>
    <col min="14" max="14" width="10.88671875" customWidth="1"/>
    <col min="15" max="15" width="10.5546875" customWidth="1"/>
    <col min="16" max="22" width="11.5546875" bestFit="1" customWidth="1"/>
  </cols>
  <sheetData>
    <row r="1" spans="1:22" ht="15.6" x14ac:dyDescent="0.3">
      <c r="A1" s="32" t="s">
        <v>32</v>
      </c>
      <c r="B1" s="32"/>
      <c r="C1" s="42"/>
      <c r="D1" s="42"/>
      <c r="E1" s="42"/>
      <c r="F1" s="42"/>
      <c r="G1" s="42"/>
      <c r="H1" s="42"/>
      <c r="I1" s="42"/>
      <c r="J1" s="42"/>
      <c r="K1" s="32"/>
      <c r="L1" s="32"/>
      <c r="M1" s="32" t="s">
        <v>33</v>
      </c>
      <c r="N1" s="32"/>
      <c r="O1" s="32"/>
      <c r="P1" s="32"/>
      <c r="Q1" s="32"/>
      <c r="R1" s="32"/>
      <c r="S1" s="32"/>
      <c r="T1" s="32"/>
      <c r="U1" s="32"/>
      <c r="V1" s="32"/>
    </row>
    <row r="2" spans="1:22" ht="16.2" thickBot="1" x14ac:dyDescent="0.35">
      <c r="A2" s="32" t="s">
        <v>34</v>
      </c>
      <c r="B2" s="43" t="s">
        <v>35</v>
      </c>
      <c r="C2" s="42"/>
      <c r="D2" s="42"/>
      <c r="E2" s="42"/>
      <c r="F2" s="42"/>
      <c r="G2" s="42"/>
      <c r="H2" s="42"/>
      <c r="I2" s="42"/>
      <c r="J2" s="42"/>
      <c r="K2" s="32"/>
      <c r="L2" s="32"/>
      <c r="M2" s="32" t="str" cm="1">
        <f t="array" ref="M2:T2">TRANSPOSE(B4:B11)</f>
        <v>Individuos en el ambiente</v>
      </c>
      <c r="N2" s="32" t="str">
        <v>Número de individuos vivos</v>
      </c>
      <c r="O2" s="32" t="str">
        <v>Número de individuos muertos</v>
      </c>
      <c r="P2" s="32" t="str">
        <v>Número de pacientes vivos</v>
      </c>
      <c r="Q2" s="32" t="str">
        <v>Número de pacientes muertos</v>
      </c>
      <c r="R2" s="32" t="str">
        <v>Número de sanos vivos</v>
      </c>
      <c r="S2" s="32" t="str">
        <v>Número de sanos muertos</v>
      </c>
      <c r="T2" s="32" t="str">
        <v>Tiempo promedio de evacuación</v>
      </c>
      <c r="U2" s="32"/>
      <c r="V2" s="32"/>
    </row>
    <row r="3" spans="1:22" ht="15.6" x14ac:dyDescent="0.3">
      <c r="A3" s="32"/>
      <c r="B3" s="48" t="s">
        <v>36</v>
      </c>
      <c r="C3" s="49" t="s">
        <v>37</v>
      </c>
      <c r="D3" s="49" t="s">
        <v>38</v>
      </c>
      <c r="E3" s="49" t="s">
        <v>39</v>
      </c>
      <c r="F3" s="49" t="s">
        <v>98</v>
      </c>
      <c r="G3" s="49" t="s">
        <v>99</v>
      </c>
      <c r="H3" s="49" t="s">
        <v>40</v>
      </c>
      <c r="I3" s="49"/>
      <c r="J3" s="49" t="s">
        <v>121</v>
      </c>
      <c r="K3" s="32"/>
      <c r="L3" s="32" t="s">
        <v>42</v>
      </c>
      <c r="M3" s="32" cm="1">
        <f t="array" ref="M3:T3">TRANSPOSE(H4:H11)</f>
        <v>100</v>
      </c>
      <c r="N3" s="32">
        <v>89.8</v>
      </c>
      <c r="O3" s="32">
        <v>10.199999999999999</v>
      </c>
      <c r="P3" s="32">
        <v>35.799999999999997</v>
      </c>
      <c r="Q3" s="32">
        <v>4.2</v>
      </c>
      <c r="R3" s="32">
        <v>54</v>
      </c>
      <c r="S3" s="32">
        <v>6</v>
      </c>
      <c r="T3" s="32">
        <v>50.6</v>
      </c>
      <c r="U3" s="32"/>
      <c r="V3" s="32"/>
    </row>
    <row r="4" spans="1:22" ht="15.6" x14ac:dyDescent="0.3">
      <c r="A4" s="32"/>
      <c r="B4" s="34" t="s">
        <v>43</v>
      </c>
      <c r="C4" s="35">
        <f>C5+C6</f>
        <v>100</v>
      </c>
      <c r="D4" s="35">
        <f t="shared" ref="D4:E4" si="0">D5+D6</f>
        <v>100</v>
      </c>
      <c r="E4" s="35">
        <f t="shared" si="0"/>
        <v>100</v>
      </c>
      <c r="F4" s="35">
        <f t="shared" ref="F4" si="1">F5+F6</f>
        <v>100</v>
      </c>
      <c r="G4" s="35">
        <f t="shared" ref="G4" si="2">G5+G6</f>
        <v>100</v>
      </c>
      <c r="H4" s="36">
        <f>AVERAGE(C4:G4)</f>
        <v>100</v>
      </c>
      <c r="I4" s="36" t="s">
        <v>122</v>
      </c>
      <c r="J4" s="37">
        <f>_xlfn.STDEV.P(C4:G4)</f>
        <v>0</v>
      </c>
      <c r="K4" s="32"/>
      <c r="L4" s="32" t="s">
        <v>44</v>
      </c>
      <c r="M4" s="32" cm="1">
        <f t="array" ref="M4:T4">TRANSPOSE(H16:H23)</f>
        <v>290</v>
      </c>
      <c r="N4" s="32">
        <v>221.4</v>
      </c>
      <c r="O4" s="32">
        <v>68.599999999999994</v>
      </c>
      <c r="P4" s="32">
        <v>79.2</v>
      </c>
      <c r="Q4" s="32">
        <v>28.8</v>
      </c>
      <c r="R4" s="32">
        <v>142.19999999999999</v>
      </c>
      <c r="S4" s="32">
        <v>39.799999999999997</v>
      </c>
      <c r="T4" s="32">
        <v>71.599999999999994</v>
      </c>
      <c r="U4" s="32"/>
      <c r="V4" s="32"/>
    </row>
    <row r="5" spans="1:22" ht="15.6" x14ac:dyDescent="0.3">
      <c r="A5" s="32"/>
      <c r="B5" s="34" t="s">
        <v>45</v>
      </c>
      <c r="C5" s="35">
        <v>89</v>
      </c>
      <c r="D5" s="35">
        <v>81</v>
      </c>
      <c r="E5" s="35">
        <v>93</v>
      </c>
      <c r="F5" s="35">
        <v>89</v>
      </c>
      <c r="G5" s="35">
        <v>97</v>
      </c>
      <c r="H5" s="36">
        <f t="shared" ref="H5:H11" si="3">AVERAGE(C5:G5)</f>
        <v>89.8</v>
      </c>
      <c r="I5" s="36" t="s">
        <v>122</v>
      </c>
      <c r="J5" s="37">
        <f t="shared" ref="J5:J11" si="4">_xlfn.STDEV.P(C5:G5)</f>
        <v>5.3065996645686404</v>
      </c>
      <c r="K5" s="32"/>
      <c r="L5" s="32" t="s">
        <v>46</v>
      </c>
      <c r="M5" s="32" cm="1">
        <f t="array" ref="M5:T5">TRANSPOSE(H28:H35)</f>
        <v>110</v>
      </c>
      <c r="N5" s="32">
        <v>81.2</v>
      </c>
      <c r="O5" s="32">
        <v>28.8</v>
      </c>
      <c r="P5" s="32">
        <v>40.200000000000003</v>
      </c>
      <c r="Q5" s="32">
        <v>19.8</v>
      </c>
      <c r="R5" s="32">
        <v>41</v>
      </c>
      <c r="S5" s="32">
        <v>9</v>
      </c>
      <c r="T5" s="32">
        <v>36</v>
      </c>
      <c r="U5" s="32"/>
      <c r="V5" s="32"/>
    </row>
    <row r="6" spans="1:22" ht="15.6" x14ac:dyDescent="0.3">
      <c r="A6" s="32"/>
      <c r="B6" s="34" t="s">
        <v>47</v>
      </c>
      <c r="C6" s="35">
        <v>11</v>
      </c>
      <c r="D6" s="35">
        <v>19</v>
      </c>
      <c r="E6" s="35">
        <v>7</v>
      </c>
      <c r="F6" s="35">
        <v>11</v>
      </c>
      <c r="G6" s="35">
        <v>3</v>
      </c>
      <c r="H6" s="36">
        <f t="shared" si="3"/>
        <v>10.199999999999999</v>
      </c>
      <c r="I6" s="36" t="s">
        <v>122</v>
      </c>
      <c r="J6" s="37">
        <f t="shared" si="4"/>
        <v>5.3065996645686395</v>
      </c>
      <c r="K6" s="32"/>
      <c r="L6" s="44" t="s">
        <v>48</v>
      </c>
      <c r="M6" s="32" cm="1">
        <f t="array" ref="M6:T6">TRANSPOSE(H40:H47)</f>
        <v>100</v>
      </c>
      <c r="N6" s="32">
        <v>93.8</v>
      </c>
      <c r="O6" s="32">
        <v>6.2</v>
      </c>
      <c r="P6" s="32">
        <v>40.4</v>
      </c>
      <c r="Q6" s="32">
        <v>4.5999999999999996</v>
      </c>
      <c r="R6" s="32">
        <v>53.4</v>
      </c>
      <c r="S6" s="32">
        <v>1.6</v>
      </c>
      <c r="T6" s="32">
        <v>41.2</v>
      </c>
      <c r="U6" s="32"/>
      <c r="V6" s="32"/>
    </row>
    <row r="7" spans="1:22" ht="15.6" x14ac:dyDescent="0.3">
      <c r="A7" s="32"/>
      <c r="B7" s="34" t="s">
        <v>49</v>
      </c>
      <c r="C7" s="35">
        <v>36</v>
      </c>
      <c r="D7" s="35">
        <v>31</v>
      </c>
      <c r="E7" s="35">
        <v>35</v>
      </c>
      <c r="F7" s="35">
        <v>37</v>
      </c>
      <c r="G7" s="35">
        <v>40</v>
      </c>
      <c r="H7" s="36">
        <f t="shared" si="3"/>
        <v>35.799999999999997</v>
      </c>
      <c r="I7" s="36" t="s">
        <v>122</v>
      </c>
      <c r="J7" s="37">
        <f t="shared" si="4"/>
        <v>2.925747767665559</v>
      </c>
      <c r="K7" s="32"/>
      <c r="L7" s="32" t="s">
        <v>50</v>
      </c>
      <c r="M7" s="32" cm="1">
        <f t="array" ref="M7:T7">TRANSPOSE(H52:H59)</f>
        <v>100</v>
      </c>
      <c r="N7" s="32">
        <v>91.4</v>
      </c>
      <c r="O7" s="32">
        <v>8.6</v>
      </c>
      <c r="P7" s="32">
        <v>35.4</v>
      </c>
      <c r="Q7" s="32">
        <v>4.5999999999999996</v>
      </c>
      <c r="R7" s="32">
        <v>56</v>
      </c>
      <c r="S7" s="32">
        <v>4</v>
      </c>
      <c r="T7" s="32">
        <v>28.6</v>
      </c>
      <c r="U7" s="32"/>
      <c r="V7" s="32"/>
    </row>
    <row r="8" spans="1:22" ht="15.6" x14ac:dyDescent="0.3">
      <c r="A8" s="32"/>
      <c r="B8" s="34" t="s">
        <v>51</v>
      </c>
      <c r="C8" s="35">
        <v>4</v>
      </c>
      <c r="D8" s="35">
        <v>9</v>
      </c>
      <c r="E8" s="35">
        <v>5</v>
      </c>
      <c r="F8" s="35">
        <v>3</v>
      </c>
      <c r="G8" s="35">
        <v>0</v>
      </c>
      <c r="H8" s="36">
        <f t="shared" si="3"/>
        <v>4.2</v>
      </c>
      <c r="I8" s="36" t="s">
        <v>122</v>
      </c>
      <c r="J8" s="37">
        <f t="shared" si="4"/>
        <v>2.925747767665559</v>
      </c>
      <c r="K8" s="32"/>
      <c r="L8" s="32" t="s">
        <v>52</v>
      </c>
      <c r="M8" s="32" cm="1">
        <f t="array" ref="M8:T8">TRANSPOSE(H64:H71)</f>
        <v>100</v>
      </c>
      <c r="N8" s="45">
        <v>86.4</v>
      </c>
      <c r="O8" s="45">
        <v>13.6</v>
      </c>
      <c r="P8" s="45">
        <v>0</v>
      </c>
      <c r="Q8" s="45">
        <v>0</v>
      </c>
      <c r="R8" s="45">
        <v>86.4</v>
      </c>
      <c r="S8" s="45">
        <v>13.6</v>
      </c>
      <c r="T8" s="45">
        <v>48.6</v>
      </c>
      <c r="U8" s="32"/>
      <c r="V8" s="32"/>
    </row>
    <row r="9" spans="1:22" ht="15.6" x14ac:dyDescent="0.3">
      <c r="A9" s="32"/>
      <c r="B9" s="34" t="s">
        <v>53</v>
      </c>
      <c r="C9" s="35">
        <v>53</v>
      </c>
      <c r="D9" s="35">
        <v>50</v>
      </c>
      <c r="E9" s="35">
        <v>58</v>
      </c>
      <c r="F9" s="35">
        <v>52</v>
      </c>
      <c r="G9" s="35">
        <v>57</v>
      </c>
      <c r="H9" s="36">
        <f t="shared" si="3"/>
        <v>54</v>
      </c>
      <c r="I9" s="36" t="s">
        <v>122</v>
      </c>
      <c r="J9" s="37">
        <f t="shared" si="4"/>
        <v>3.03315017762062</v>
      </c>
      <c r="K9" s="32"/>
      <c r="L9" s="32" t="s">
        <v>54</v>
      </c>
      <c r="M9" s="32" cm="1">
        <f t="array" ref="M9:T9">TRANSPOSE(H76:H83)</f>
        <v>120</v>
      </c>
      <c r="N9" s="32">
        <v>101</v>
      </c>
      <c r="O9" s="32">
        <v>19</v>
      </c>
      <c r="P9" s="32">
        <v>55.6</v>
      </c>
      <c r="Q9" s="32">
        <v>5.2</v>
      </c>
      <c r="R9" s="32">
        <v>45.4</v>
      </c>
      <c r="S9" s="32">
        <v>13.8</v>
      </c>
      <c r="T9" s="32">
        <v>48.8</v>
      </c>
      <c r="U9" s="32"/>
      <c r="V9" s="32"/>
    </row>
    <row r="10" spans="1:22" ht="15.6" x14ac:dyDescent="0.3">
      <c r="A10" s="32"/>
      <c r="B10" s="34" t="s">
        <v>55</v>
      </c>
      <c r="C10" s="35">
        <v>7</v>
      </c>
      <c r="D10" s="35">
        <v>10</v>
      </c>
      <c r="E10" s="35">
        <v>2</v>
      </c>
      <c r="F10" s="35">
        <v>8</v>
      </c>
      <c r="G10" s="35">
        <v>3</v>
      </c>
      <c r="H10" s="36">
        <f t="shared" si="3"/>
        <v>6</v>
      </c>
      <c r="I10" s="36" t="s">
        <v>122</v>
      </c>
      <c r="J10" s="37">
        <f t="shared" si="4"/>
        <v>3.03315017762062</v>
      </c>
      <c r="K10" s="32"/>
      <c r="L10" s="32" t="s">
        <v>56</v>
      </c>
      <c r="M10" s="32" cm="1">
        <f t="array" ref="M10:T10">TRANSPOSE(H106:H113)</f>
        <v>113</v>
      </c>
      <c r="N10" s="32">
        <v>97.8</v>
      </c>
      <c r="O10" s="32">
        <v>15.2</v>
      </c>
      <c r="P10" s="32">
        <v>47.2</v>
      </c>
      <c r="Q10" s="32">
        <v>10.8</v>
      </c>
      <c r="R10" s="32">
        <v>50.6</v>
      </c>
      <c r="S10" s="32">
        <v>4.4000000000000004</v>
      </c>
      <c r="T10" s="32">
        <v>54</v>
      </c>
      <c r="U10" s="32"/>
      <c r="V10" s="32"/>
    </row>
    <row r="11" spans="1:22" ht="16.2" thickBot="1" x14ac:dyDescent="0.35">
      <c r="A11" s="32"/>
      <c r="B11" s="38" t="s">
        <v>57</v>
      </c>
      <c r="C11" s="39">
        <v>50</v>
      </c>
      <c r="D11" s="39">
        <v>48</v>
      </c>
      <c r="E11" s="39">
        <v>52</v>
      </c>
      <c r="F11" s="39">
        <v>54</v>
      </c>
      <c r="G11" s="39">
        <v>49</v>
      </c>
      <c r="H11" s="40">
        <f t="shared" si="3"/>
        <v>50.6</v>
      </c>
      <c r="I11" s="40" t="s">
        <v>122</v>
      </c>
      <c r="J11" s="41">
        <f t="shared" si="4"/>
        <v>2.1540659228538015</v>
      </c>
      <c r="K11" s="32"/>
      <c r="L11" s="44" t="s">
        <v>58</v>
      </c>
      <c r="M11" s="32" cm="1">
        <f t="array" ref="M11:T11">TRANSPOSE(H118:H125)</f>
        <v>100</v>
      </c>
      <c r="N11" s="32">
        <v>97.2</v>
      </c>
      <c r="O11" s="32">
        <v>2.8</v>
      </c>
      <c r="P11" s="32">
        <v>47.8</v>
      </c>
      <c r="Q11" s="32">
        <v>2.2000000000000002</v>
      </c>
      <c r="R11" s="32">
        <v>49.4</v>
      </c>
      <c r="S11" s="32">
        <v>0.6</v>
      </c>
      <c r="T11" s="32">
        <v>35.200000000000003</v>
      </c>
      <c r="U11" s="32"/>
      <c r="V11" s="32"/>
    </row>
    <row r="12" spans="1:22" ht="19.2" x14ac:dyDescent="0.3">
      <c r="A12" s="32"/>
      <c r="B12" s="33" t="s">
        <v>123</v>
      </c>
      <c r="C12" s="42"/>
      <c r="D12" s="42"/>
      <c r="E12" s="42"/>
      <c r="F12" s="42"/>
      <c r="G12" s="42"/>
      <c r="H12" s="42"/>
      <c r="I12" s="42"/>
      <c r="J12" s="4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22" ht="15.6" x14ac:dyDescent="0.3">
      <c r="A13" s="32"/>
      <c r="B13" s="33"/>
      <c r="C13" s="42"/>
      <c r="D13" s="42"/>
      <c r="E13" s="42"/>
      <c r="F13" s="42"/>
      <c r="G13" s="42"/>
      <c r="H13" s="42"/>
      <c r="I13" s="42"/>
      <c r="J13" s="4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1:22" ht="16.2" thickBot="1" x14ac:dyDescent="0.35">
      <c r="A14" s="32" t="s">
        <v>59</v>
      </c>
      <c r="B14" s="43" t="s">
        <v>60</v>
      </c>
      <c r="C14" s="42"/>
      <c r="D14" s="42"/>
      <c r="E14" s="42"/>
      <c r="F14" s="42"/>
      <c r="G14" s="42"/>
      <c r="H14" s="42"/>
      <c r="I14" s="42"/>
      <c r="J14" s="4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1:22" ht="15.6" x14ac:dyDescent="0.3">
      <c r="A15" s="32"/>
      <c r="B15" s="48" t="s">
        <v>36</v>
      </c>
      <c r="C15" s="49" t="s">
        <v>37</v>
      </c>
      <c r="D15" s="49" t="s">
        <v>38</v>
      </c>
      <c r="E15" s="49" t="s">
        <v>39</v>
      </c>
      <c r="F15" s="49" t="s">
        <v>98</v>
      </c>
      <c r="G15" s="49" t="s">
        <v>99</v>
      </c>
      <c r="H15" s="49" t="s">
        <v>40</v>
      </c>
      <c r="I15" s="49"/>
      <c r="J15" s="49" t="s">
        <v>121</v>
      </c>
      <c r="K15" s="32"/>
      <c r="L15" s="32" t="s">
        <v>4</v>
      </c>
      <c r="M15" s="32" t="s">
        <v>112</v>
      </c>
      <c r="N15" s="32" t="s">
        <v>113</v>
      </c>
      <c r="O15" s="32"/>
      <c r="P15" s="32"/>
      <c r="Q15" s="32"/>
      <c r="R15" s="32"/>
      <c r="S15" s="32"/>
      <c r="T15" s="32"/>
      <c r="U15" s="32"/>
      <c r="V15" s="32"/>
    </row>
    <row r="16" spans="1:22" ht="15.6" x14ac:dyDescent="0.3">
      <c r="A16" s="32"/>
      <c r="B16" s="34" t="s">
        <v>43</v>
      </c>
      <c r="C16" s="35">
        <f>C17+C18</f>
        <v>290</v>
      </c>
      <c r="D16" s="35">
        <f t="shared" ref="D16:G16" si="5">D17+D18</f>
        <v>290</v>
      </c>
      <c r="E16" s="35">
        <f t="shared" si="5"/>
        <v>290</v>
      </c>
      <c r="F16" s="35">
        <f t="shared" si="5"/>
        <v>290</v>
      </c>
      <c r="G16" s="35">
        <f t="shared" si="5"/>
        <v>290</v>
      </c>
      <c r="H16" s="36">
        <f>AVERAGE(C16:G16)</f>
        <v>290</v>
      </c>
      <c r="I16" s="36" t="s">
        <v>122</v>
      </c>
      <c r="J16" s="37">
        <f>_xlfn.STDEV.P(C16:G16)</f>
        <v>0</v>
      </c>
      <c r="K16" s="32"/>
      <c r="L16" s="32">
        <v>1</v>
      </c>
      <c r="M16" s="46">
        <f>N3</f>
        <v>89.8</v>
      </c>
      <c r="N16" s="46">
        <f>O3</f>
        <v>10.199999999999999</v>
      </c>
      <c r="O16" s="32"/>
      <c r="P16" s="32"/>
      <c r="Q16" s="32"/>
      <c r="R16" s="32"/>
      <c r="S16" s="32"/>
      <c r="T16" s="32"/>
      <c r="U16" s="32"/>
      <c r="V16" s="32"/>
    </row>
    <row r="17" spans="1:22" ht="15.6" x14ac:dyDescent="0.3">
      <c r="A17" s="32"/>
      <c r="B17" s="34" t="s">
        <v>45</v>
      </c>
      <c r="C17" s="35">
        <v>233</v>
      </c>
      <c r="D17" s="35">
        <v>246</v>
      </c>
      <c r="E17" s="35">
        <v>199</v>
      </c>
      <c r="F17" s="35">
        <v>232</v>
      </c>
      <c r="G17" s="35">
        <v>197</v>
      </c>
      <c r="H17" s="36">
        <f>AVERAGE(C17:G17)</f>
        <v>221.4</v>
      </c>
      <c r="I17" s="36" t="s">
        <v>122</v>
      </c>
      <c r="J17" s="37">
        <f t="shared" ref="J17:J23" si="6">_xlfn.STDEV.P(C17:G17)</f>
        <v>19.744366285095097</v>
      </c>
      <c r="K17" s="32"/>
      <c r="L17" s="32">
        <v>2</v>
      </c>
      <c r="M17" s="46">
        <f t="shared" ref="M17:N24" si="7">N4</f>
        <v>221.4</v>
      </c>
      <c r="N17" s="46">
        <f t="shared" si="7"/>
        <v>68.599999999999994</v>
      </c>
      <c r="O17" s="32"/>
      <c r="P17" s="32"/>
      <c r="Q17" s="32"/>
      <c r="R17" s="32"/>
      <c r="S17" s="32"/>
      <c r="T17" s="32"/>
      <c r="U17" s="32"/>
      <c r="V17" s="32"/>
    </row>
    <row r="18" spans="1:22" ht="15.6" x14ac:dyDescent="0.3">
      <c r="A18" s="32"/>
      <c r="B18" s="34" t="s">
        <v>47</v>
      </c>
      <c r="C18" s="35">
        <v>57</v>
      </c>
      <c r="D18" s="35">
        <v>44</v>
      </c>
      <c r="E18" s="35">
        <v>91</v>
      </c>
      <c r="F18" s="35">
        <v>58</v>
      </c>
      <c r="G18" s="35">
        <v>93</v>
      </c>
      <c r="H18" s="36">
        <f t="shared" ref="H18:H23" si="8">AVERAGE(C18:G18)</f>
        <v>68.599999999999994</v>
      </c>
      <c r="I18" s="36" t="s">
        <v>122</v>
      </c>
      <c r="J18" s="37">
        <f t="shared" si="6"/>
        <v>19.744366285095097</v>
      </c>
      <c r="K18" s="32"/>
      <c r="L18" s="32">
        <v>3</v>
      </c>
      <c r="M18" s="46">
        <f t="shared" si="7"/>
        <v>81.2</v>
      </c>
      <c r="N18" s="46">
        <f t="shared" si="7"/>
        <v>28.8</v>
      </c>
      <c r="O18" s="32"/>
      <c r="P18" s="32"/>
      <c r="Q18" s="32"/>
      <c r="R18" s="32"/>
      <c r="S18" s="32"/>
      <c r="T18" s="32"/>
      <c r="U18" s="32"/>
      <c r="V18" s="32"/>
    </row>
    <row r="19" spans="1:22" ht="15.6" x14ac:dyDescent="0.3">
      <c r="A19" s="32"/>
      <c r="B19" s="34" t="s">
        <v>49</v>
      </c>
      <c r="C19" s="35">
        <v>84</v>
      </c>
      <c r="D19" s="35">
        <v>92</v>
      </c>
      <c r="E19" s="35">
        <v>65</v>
      </c>
      <c r="F19" s="35">
        <v>84</v>
      </c>
      <c r="G19" s="35">
        <v>71</v>
      </c>
      <c r="H19" s="36">
        <f t="shared" si="8"/>
        <v>79.2</v>
      </c>
      <c r="I19" s="36" t="s">
        <v>122</v>
      </c>
      <c r="J19" s="37">
        <f t="shared" si="6"/>
        <v>9.7857038581800548</v>
      </c>
      <c r="K19" s="32"/>
      <c r="L19" s="32">
        <v>4</v>
      </c>
      <c r="M19" s="46">
        <f t="shared" si="7"/>
        <v>93.8</v>
      </c>
      <c r="N19" s="46">
        <f t="shared" si="7"/>
        <v>6.2</v>
      </c>
      <c r="O19" s="32"/>
      <c r="P19" s="32"/>
      <c r="Q19" s="32"/>
      <c r="R19" s="32"/>
      <c r="S19" s="32"/>
      <c r="T19" s="32"/>
      <c r="U19" s="32"/>
      <c r="V19" s="32"/>
    </row>
    <row r="20" spans="1:22" ht="15.6" x14ac:dyDescent="0.3">
      <c r="A20" s="32"/>
      <c r="B20" s="34" t="s">
        <v>51</v>
      </c>
      <c r="C20" s="35">
        <v>24</v>
      </c>
      <c r="D20" s="35">
        <v>16</v>
      </c>
      <c r="E20" s="35">
        <v>43</v>
      </c>
      <c r="F20" s="35">
        <v>24</v>
      </c>
      <c r="G20" s="35">
        <v>37</v>
      </c>
      <c r="H20" s="36">
        <f>AVERAGE(C20:G20)</f>
        <v>28.8</v>
      </c>
      <c r="I20" s="36" t="s">
        <v>122</v>
      </c>
      <c r="J20" s="37">
        <f t="shared" si="6"/>
        <v>9.7857038581800548</v>
      </c>
      <c r="K20" s="32"/>
      <c r="L20" s="32">
        <v>5</v>
      </c>
      <c r="M20" s="46">
        <f t="shared" si="7"/>
        <v>91.4</v>
      </c>
      <c r="N20" s="46">
        <f t="shared" si="7"/>
        <v>8.6</v>
      </c>
      <c r="O20" s="32"/>
      <c r="P20" s="32"/>
      <c r="Q20" s="32"/>
      <c r="R20" s="32"/>
      <c r="S20" s="32"/>
      <c r="T20" s="32"/>
      <c r="U20" s="32"/>
      <c r="V20" s="32"/>
    </row>
    <row r="21" spans="1:22" ht="15.6" x14ac:dyDescent="0.3">
      <c r="A21" s="32"/>
      <c r="B21" s="34" t="s">
        <v>53</v>
      </c>
      <c r="C21" s="35">
        <v>149</v>
      </c>
      <c r="D21" s="35">
        <v>154</v>
      </c>
      <c r="E21" s="35">
        <v>134</v>
      </c>
      <c r="F21" s="35">
        <v>148</v>
      </c>
      <c r="G21" s="35">
        <v>126</v>
      </c>
      <c r="H21" s="36">
        <f t="shared" si="8"/>
        <v>142.19999999999999</v>
      </c>
      <c r="I21" s="36" t="s">
        <v>122</v>
      </c>
      <c r="J21" s="37">
        <f t="shared" si="6"/>
        <v>10.476640682967036</v>
      </c>
      <c r="K21" s="32"/>
      <c r="L21" s="32">
        <v>6</v>
      </c>
      <c r="M21" s="46">
        <f t="shared" si="7"/>
        <v>86.4</v>
      </c>
      <c r="N21" s="46">
        <f t="shared" si="7"/>
        <v>13.6</v>
      </c>
      <c r="O21" s="32"/>
      <c r="P21" s="32"/>
      <c r="Q21" s="32"/>
      <c r="R21" s="32"/>
      <c r="S21" s="32"/>
      <c r="T21" s="32"/>
      <c r="U21" s="32"/>
      <c r="V21" s="32"/>
    </row>
    <row r="22" spans="1:22" ht="15.6" x14ac:dyDescent="0.3">
      <c r="A22" s="32"/>
      <c r="B22" s="34" t="s">
        <v>55</v>
      </c>
      <c r="C22" s="35">
        <v>33</v>
      </c>
      <c r="D22" s="35">
        <v>28</v>
      </c>
      <c r="E22" s="35">
        <v>48</v>
      </c>
      <c r="F22" s="35">
        <v>34</v>
      </c>
      <c r="G22" s="35">
        <v>56</v>
      </c>
      <c r="H22" s="36">
        <f t="shared" si="8"/>
        <v>39.799999999999997</v>
      </c>
      <c r="I22" s="36" t="s">
        <v>122</v>
      </c>
      <c r="J22" s="37">
        <f t="shared" si="6"/>
        <v>10.476640682967036</v>
      </c>
      <c r="K22" s="32"/>
      <c r="L22" s="32">
        <v>7</v>
      </c>
      <c r="M22" s="46">
        <f t="shared" si="7"/>
        <v>101</v>
      </c>
      <c r="N22" s="46">
        <f t="shared" si="7"/>
        <v>19</v>
      </c>
      <c r="O22" s="32"/>
      <c r="P22" s="32"/>
      <c r="Q22" s="32"/>
      <c r="R22" s="32"/>
      <c r="S22" s="32"/>
      <c r="T22" s="32"/>
      <c r="U22" s="32"/>
      <c r="V22" s="32"/>
    </row>
    <row r="23" spans="1:22" ht="16.2" thickBot="1" x14ac:dyDescent="0.35">
      <c r="A23" s="32"/>
      <c r="B23" s="38" t="s">
        <v>57</v>
      </c>
      <c r="C23" s="39">
        <v>77</v>
      </c>
      <c r="D23" s="39">
        <v>73</v>
      </c>
      <c r="E23" s="39">
        <v>65</v>
      </c>
      <c r="F23" s="39">
        <v>81</v>
      </c>
      <c r="G23" s="39">
        <v>62</v>
      </c>
      <c r="H23" s="40">
        <f t="shared" si="8"/>
        <v>71.599999999999994</v>
      </c>
      <c r="I23" s="40" t="s">
        <v>122</v>
      </c>
      <c r="J23" s="41">
        <f t="shared" si="6"/>
        <v>7.1442284397967013</v>
      </c>
      <c r="K23" s="32"/>
      <c r="L23" s="32">
        <v>8</v>
      </c>
      <c r="M23" s="46">
        <f t="shared" si="7"/>
        <v>97.8</v>
      </c>
      <c r="N23" s="46">
        <f t="shared" si="7"/>
        <v>15.2</v>
      </c>
      <c r="O23" s="32"/>
      <c r="P23" s="32"/>
      <c r="Q23" s="32"/>
      <c r="R23" s="32"/>
      <c r="S23" s="32"/>
      <c r="T23" s="32"/>
      <c r="U23" s="32"/>
      <c r="V23" s="32"/>
    </row>
    <row r="24" spans="1:22" ht="19.2" x14ac:dyDescent="0.3">
      <c r="A24" s="32"/>
      <c r="B24" s="33" t="s">
        <v>123</v>
      </c>
      <c r="C24" s="42"/>
      <c r="D24" s="42"/>
      <c r="E24" s="42"/>
      <c r="F24" s="42"/>
      <c r="G24" s="42"/>
      <c r="H24" s="42"/>
      <c r="I24" s="42"/>
      <c r="J24" s="42"/>
      <c r="K24" s="32"/>
      <c r="L24" s="32">
        <v>9</v>
      </c>
      <c r="M24" s="46">
        <f t="shared" si="7"/>
        <v>97.2</v>
      </c>
      <c r="N24" s="46">
        <f t="shared" si="7"/>
        <v>2.8</v>
      </c>
      <c r="O24" s="32"/>
      <c r="P24" s="32"/>
      <c r="Q24" s="32"/>
      <c r="R24" s="32"/>
      <c r="S24" s="32"/>
      <c r="T24" s="32"/>
      <c r="U24" s="32"/>
      <c r="V24" s="32"/>
    </row>
    <row r="25" spans="1:22" ht="15.6" x14ac:dyDescent="0.3">
      <c r="A25" s="32"/>
      <c r="B25" s="32"/>
      <c r="C25" s="42"/>
      <c r="D25" s="42"/>
      <c r="E25" s="42"/>
      <c r="F25" s="42"/>
      <c r="G25" s="42"/>
      <c r="H25" s="42"/>
      <c r="I25" s="42"/>
      <c r="J25" s="42"/>
      <c r="K25" s="32"/>
      <c r="L25" s="32"/>
      <c r="M25" s="46"/>
      <c r="N25" s="46"/>
      <c r="O25" s="32"/>
      <c r="P25" s="32"/>
      <c r="Q25" s="32"/>
      <c r="R25" s="32"/>
      <c r="S25" s="32"/>
      <c r="T25" s="32"/>
      <c r="U25" s="32"/>
      <c r="V25" s="32"/>
    </row>
    <row r="26" spans="1:22" ht="16.2" thickBot="1" x14ac:dyDescent="0.35">
      <c r="A26" s="32" t="s">
        <v>61</v>
      </c>
      <c r="B26" s="43" t="s">
        <v>62</v>
      </c>
      <c r="C26" s="42"/>
      <c r="D26" s="42"/>
      <c r="E26" s="42"/>
      <c r="F26" s="42"/>
      <c r="G26" s="42"/>
      <c r="H26" s="42"/>
      <c r="I26" s="42"/>
      <c r="J26" s="4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 ht="15.6" x14ac:dyDescent="0.3">
      <c r="A27" s="32"/>
      <c r="B27" s="48" t="s">
        <v>36</v>
      </c>
      <c r="C27" s="49" t="s">
        <v>37</v>
      </c>
      <c r="D27" s="49" t="s">
        <v>38</v>
      </c>
      <c r="E27" s="49" t="s">
        <v>39</v>
      </c>
      <c r="F27" s="49" t="s">
        <v>98</v>
      </c>
      <c r="G27" s="49" t="s">
        <v>99</v>
      </c>
      <c r="H27" s="49" t="s">
        <v>40</v>
      </c>
      <c r="I27" s="49"/>
      <c r="J27" s="49" t="s">
        <v>121</v>
      </c>
      <c r="K27" s="32"/>
      <c r="L27" s="32" t="s">
        <v>4</v>
      </c>
      <c r="M27" s="32" t="s">
        <v>114</v>
      </c>
      <c r="N27" s="32" t="s">
        <v>57</v>
      </c>
      <c r="O27" s="32"/>
      <c r="P27" s="32"/>
      <c r="Q27" s="32"/>
      <c r="R27" s="32"/>
      <c r="S27" s="32"/>
      <c r="T27" s="32"/>
      <c r="U27" s="32"/>
      <c r="V27" s="32"/>
    </row>
    <row r="28" spans="1:22" ht="15.6" x14ac:dyDescent="0.3">
      <c r="A28" s="32"/>
      <c r="B28" s="34" t="s">
        <v>43</v>
      </c>
      <c r="C28" s="35">
        <f>C29+C30</f>
        <v>110</v>
      </c>
      <c r="D28" s="35">
        <f t="shared" ref="D28:G28" si="9">D29+D30</f>
        <v>110</v>
      </c>
      <c r="E28" s="35">
        <f t="shared" si="9"/>
        <v>110</v>
      </c>
      <c r="F28" s="35">
        <f t="shared" si="9"/>
        <v>110</v>
      </c>
      <c r="G28" s="35">
        <f t="shared" si="9"/>
        <v>110</v>
      </c>
      <c r="H28" s="36">
        <f>AVERAGE(C28:G28)</f>
        <v>110</v>
      </c>
      <c r="I28" s="36" t="s">
        <v>122</v>
      </c>
      <c r="J28" s="37">
        <f>_xlfn.STDEV.P(C28:G28)</f>
        <v>0</v>
      </c>
      <c r="K28" s="32"/>
      <c r="L28" s="32">
        <v>1</v>
      </c>
      <c r="M28" s="32">
        <f>M3</f>
        <v>100</v>
      </c>
      <c r="N28" s="32">
        <f>T3</f>
        <v>50.6</v>
      </c>
      <c r="O28" s="32"/>
      <c r="P28" s="32"/>
      <c r="Q28" s="32"/>
      <c r="R28" s="32"/>
      <c r="S28" s="32"/>
      <c r="T28" s="32"/>
      <c r="U28" s="32"/>
      <c r="V28" s="32"/>
    </row>
    <row r="29" spans="1:22" ht="15.6" x14ac:dyDescent="0.3">
      <c r="A29" s="32"/>
      <c r="B29" s="34" t="s">
        <v>45</v>
      </c>
      <c r="C29" s="35">
        <v>83</v>
      </c>
      <c r="D29" s="35">
        <v>89</v>
      </c>
      <c r="E29" s="35">
        <v>72</v>
      </c>
      <c r="F29" s="35">
        <v>80</v>
      </c>
      <c r="G29" s="35">
        <v>82</v>
      </c>
      <c r="H29" s="36">
        <f t="shared" ref="H29:H35" si="10">AVERAGE(C29:G29)</f>
        <v>81.2</v>
      </c>
      <c r="I29" s="36" t="s">
        <v>122</v>
      </c>
      <c r="J29" s="37">
        <f t="shared" ref="J29:J35" si="11">_xlfn.STDEV.P(C29:G29)</f>
        <v>5.491812087098392</v>
      </c>
      <c r="K29" s="32"/>
      <c r="L29" s="32">
        <v>2</v>
      </c>
      <c r="M29" s="32">
        <f t="shared" ref="M29:M36" si="12">M4</f>
        <v>290</v>
      </c>
      <c r="N29" s="32">
        <f t="shared" ref="N29:N36" si="13">T4</f>
        <v>71.599999999999994</v>
      </c>
      <c r="O29" s="32"/>
      <c r="P29" s="32"/>
      <c r="Q29" s="32"/>
      <c r="R29" s="32"/>
      <c r="S29" s="32"/>
      <c r="T29" s="32"/>
      <c r="U29" s="32"/>
      <c r="V29" s="32"/>
    </row>
    <row r="30" spans="1:22" ht="15.6" x14ac:dyDescent="0.3">
      <c r="A30" s="32"/>
      <c r="B30" s="34" t="s">
        <v>47</v>
      </c>
      <c r="C30" s="35">
        <v>27</v>
      </c>
      <c r="D30" s="35">
        <v>21</v>
      </c>
      <c r="E30" s="35">
        <v>38</v>
      </c>
      <c r="F30" s="35">
        <v>30</v>
      </c>
      <c r="G30" s="35">
        <v>28</v>
      </c>
      <c r="H30" s="36">
        <f t="shared" si="10"/>
        <v>28.8</v>
      </c>
      <c r="I30" s="36" t="s">
        <v>122</v>
      </c>
      <c r="J30" s="37">
        <f t="shared" si="11"/>
        <v>5.491812087098392</v>
      </c>
      <c r="K30" s="32"/>
      <c r="L30" s="32">
        <v>3</v>
      </c>
      <c r="M30" s="32">
        <f t="shared" si="12"/>
        <v>110</v>
      </c>
      <c r="N30" s="32">
        <f t="shared" si="13"/>
        <v>36</v>
      </c>
      <c r="O30" s="32"/>
      <c r="P30" s="32"/>
      <c r="Q30" s="32"/>
      <c r="R30" s="32"/>
      <c r="S30" s="32"/>
      <c r="T30" s="32"/>
      <c r="U30" s="32"/>
      <c r="V30" s="32"/>
    </row>
    <row r="31" spans="1:22" ht="15.6" x14ac:dyDescent="0.3">
      <c r="A31" s="32"/>
      <c r="B31" s="34" t="s">
        <v>49</v>
      </c>
      <c r="C31" s="35">
        <v>42</v>
      </c>
      <c r="D31" s="35">
        <v>47</v>
      </c>
      <c r="E31" s="35">
        <v>33</v>
      </c>
      <c r="F31" s="35">
        <v>41</v>
      </c>
      <c r="G31" s="35">
        <v>38</v>
      </c>
      <c r="H31" s="36">
        <f t="shared" si="10"/>
        <v>40.200000000000003</v>
      </c>
      <c r="I31" s="36" t="s">
        <v>122</v>
      </c>
      <c r="J31" s="37">
        <f t="shared" si="11"/>
        <v>4.6216880033165371</v>
      </c>
      <c r="K31" s="32"/>
      <c r="L31" s="32">
        <v>4</v>
      </c>
      <c r="M31" s="32">
        <f t="shared" si="12"/>
        <v>100</v>
      </c>
      <c r="N31" s="32">
        <f t="shared" si="13"/>
        <v>41.2</v>
      </c>
      <c r="O31" s="32"/>
      <c r="P31" s="32"/>
      <c r="Q31" s="32"/>
      <c r="R31" s="32"/>
      <c r="S31" s="32"/>
      <c r="T31" s="32"/>
      <c r="U31" s="32"/>
      <c r="V31" s="32"/>
    </row>
    <row r="32" spans="1:22" ht="15.6" x14ac:dyDescent="0.3">
      <c r="A32" s="32"/>
      <c r="B32" s="34" t="s">
        <v>51</v>
      </c>
      <c r="C32" s="35">
        <v>18</v>
      </c>
      <c r="D32" s="35">
        <v>13</v>
      </c>
      <c r="E32" s="35">
        <v>27</v>
      </c>
      <c r="F32" s="35">
        <v>19</v>
      </c>
      <c r="G32" s="35">
        <v>22</v>
      </c>
      <c r="H32" s="36">
        <f t="shared" si="10"/>
        <v>19.8</v>
      </c>
      <c r="I32" s="36" t="s">
        <v>122</v>
      </c>
      <c r="J32" s="37">
        <f t="shared" si="11"/>
        <v>4.6216880033165371</v>
      </c>
      <c r="K32" s="32"/>
      <c r="L32" s="32">
        <v>5</v>
      </c>
      <c r="M32" s="32">
        <f t="shared" si="12"/>
        <v>100</v>
      </c>
      <c r="N32" s="32">
        <f t="shared" si="13"/>
        <v>28.6</v>
      </c>
      <c r="O32" s="32"/>
      <c r="P32" s="32"/>
      <c r="Q32" s="32"/>
      <c r="R32" s="32"/>
      <c r="S32" s="32"/>
      <c r="T32" s="32"/>
      <c r="U32" s="32"/>
      <c r="V32" s="32"/>
    </row>
    <row r="33" spans="1:22" ht="15.6" x14ac:dyDescent="0.3">
      <c r="A33" s="32"/>
      <c r="B33" s="34" t="s">
        <v>53</v>
      </c>
      <c r="C33" s="35">
        <v>41</v>
      </c>
      <c r="D33" s="35">
        <v>42</v>
      </c>
      <c r="E33" s="35">
        <v>39</v>
      </c>
      <c r="F33" s="35">
        <v>39</v>
      </c>
      <c r="G33" s="35">
        <v>44</v>
      </c>
      <c r="H33" s="36">
        <f t="shared" si="10"/>
        <v>41</v>
      </c>
      <c r="I33" s="36" t="s">
        <v>122</v>
      </c>
      <c r="J33" s="37">
        <f t="shared" si="11"/>
        <v>1.8973665961010275</v>
      </c>
      <c r="K33" s="32"/>
      <c r="L33" s="32">
        <v>6</v>
      </c>
      <c r="M33" s="32">
        <f t="shared" si="12"/>
        <v>100</v>
      </c>
      <c r="N33" s="32">
        <f t="shared" si="13"/>
        <v>48.6</v>
      </c>
      <c r="O33" s="32"/>
      <c r="P33" s="32"/>
      <c r="Q33" s="32"/>
      <c r="R33" s="32"/>
      <c r="S33" s="32"/>
      <c r="T33" s="32"/>
      <c r="U33" s="32"/>
      <c r="V33" s="32"/>
    </row>
    <row r="34" spans="1:22" ht="15.6" x14ac:dyDescent="0.3">
      <c r="A34" s="32"/>
      <c r="B34" s="34" t="s">
        <v>55</v>
      </c>
      <c r="C34" s="35">
        <v>9</v>
      </c>
      <c r="D34" s="35">
        <v>8</v>
      </c>
      <c r="E34" s="35">
        <v>11</v>
      </c>
      <c r="F34" s="35">
        <v>11</v>
      </c>
      <c r="G34" s="35">
        <v>6</v>
      </c>
      <c r="H34" s="36">
        <f t="shared" si="10"/>
        <v>9</v>
      </c>
      <c r="I34" s="36" t="s">
        <v>122</v>
      </c>
      <c r="J34" s="37">
        <f t="shared" si="11"/>
        <v>1.8973665961010275</v>
      </c>
      <c r="K34" s="32"/>
      <c r="L34" s="32">
        <v>7</v>
      </c>
      <c r="M34" s="32">
        <f t="shared" si="12"/>
        <v>120</v>
      </c>
      <c r="N34" s="32">
        <f t="shared" si="13"/>
        <v>48.8</v>
      </c>
      <c r="O34" s="32"/>
      <c r="P34" s="32"/>
      <c r="Q34" s="32"/>
      <c r="R34" s="32"/>
      <c r="S34" s="32"/>
      <c r="T34" s="32"/>
      <c r="U34" s="32"/>
      <c r="V34" s="32"/>
    </row>
    <row r="35" spans="1:22" ht="16.2" thickBot="1" x14ac:dyDescent="0.35">
      <c r="A35" s="32"/>
      <c r="B35" s="38" t="s">
        <v>57</v>
      </c>
      <c r="C35" s="39">
        <v>24</v>
      </c>
      <c r="D35" s="39">
        <v>44</v>
      </c>
      <c r="E35" s="39">
        <v>32</v>
      </c>
      <c r="F35" s="39">
        <v>40</v>
      </c>
      <c r="G35" s="39">
        <v>40</v>
      </c>
      <c r="H35" s="40">
        <f t="shared" si="10"/>
        <v>36</v>
      </c>
      <c r="I35" s="40" t="s">
        <v>122</v>
      </c>
      <c r="J35" s="41">
        <f t="shared" si="11"/>
        <v>7.1554175279993268</v>
      </c>
      <c r="K35" s="32"/>
      <c r="L35" s="32">
        <v>8</v>
      </c>
      <c r="M35" s="32">
        <f t="shared" si="12"/>
        <v>113</v>
      </c>
      <c r="N35" s="32">
        <f t="shared" si="13"/>
        <v>54</v>
      </c>
      <c r="O35" s="32"/>
      <c r="P35" s="32"/>
      <c r="Q35" s="32"/>
      <c r="R35" s="32"/>
      <c r="S35" s="32"/>
      <c r="T35" s="32"/>
      <c r="U35" s="32"/>
      <c r="V35" s="32"/>
    </row>
    <row r="36" spans="1:22" ht="19.2" x14ac:dyDescent="0.3">
      <c r="A36" s="32"/>
      <c r="B36" s="33" t="s">
        <v>123</v>
      </c>
      <c r="C36" s="42"/>
      <c r="D36" s="42"/>
      <c r="E36" s="42"/>
      <c r="F36" s="42"/>
      <c r="G36" s="42"/>
      <c r="H36" s="42"/>
      <c r="I36" s="42"/>
      <c r="J36" s="42"/>
      <c r="K36" s="32"/>
      <c r="L36" s="32">
        <v>9</v>
      </c>
      <c r="M36" s="32">
        <f t="shared" si="12"/>
        <v>100</v>
      </c>
      <c r="N36" s="32">
        <f t="shared" si="13"/>
        <v>35.200000000000003</v>
      </c>
      <c r="O36" s="32"/>
      <c r="P36" s="32"/>
      <c r="Q36" s="32"/>
      <c r="R36" s="32"/>
      <c r="S36" s="32"/>
      <c r="T36" s="32"/>
      <c r="U36" s="32"/>
      <c r="V36" s="32"/>
    </row>
    <row r="37" spans="1:22" ht="15.6" x14ac:dyDescent="0.3">
      <c r="A37" s="32"/>
      <c r="B37" s="32"/>
      <c r="C37" s="42"/>
      <c r="D37" s="42"/>
      <c r="E37" s="42"/>
      <c r="F37" s="42"/>
      <c r="G37" s="42"/>
      <c r="H37" s="42"/>
      <c r="I37" s="42"/>
      <c r="J37" s="4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2" ht="16.2" thickBot="1" x14ac:dyDescent="0.35">
      <c r="A38" s="32" t="s">
        <v>63</v>
      </c>
      <c r="B38" s="43" t="s">
        <v>64</v>
      </c>
      <c r="C38" s="42"/>
      <c r="D38" s="42"/>
      <c r="E38" s="42"/>
      <c r="F38" s="42"/>
      <c r="G38" s="42"/>
      <c r="H38" s="42"/>
      <c r="I38" s="42"/>
      <c r="J38" s="4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5.6" x14ac:dyDescent="0.3">
      <c r="A39" s="32"/>
      <c r="B39" s="48" t="s">
        <v>36</v>
      </c>
      <c r="C39" s="49" t="s">
        <v>37</v>
      </c>
      <c r="D39" s="49" t="s">
        <v>38</v>
      </c>
      <c r="E39" s="49" t="s">
        <v>39</v>
      </c>
      <c r="F39" s="49" t="s">
        <v>98</v>
      </c>
      <c r="G39" s="49" t="s">
        <v>99</v>
      </c>
      <c r="H39" s="49" t="s">
        <v>40</v>
      </c>
      <c r="I39" s="49"/>
      <c r="J39" s="49" t="s">
        <v>121</v>
      </c>
      <c r="K39" s="32"/>
      <c r="L39" s="32" t="s">
        <v>4</v>
      </c>
      <c r="M39" s="32" t="s">
        <v>108</v>
      </c>
      <c r="N39" s="32" t="s">
        <v>109</v>
      </c>
      <c r="O39" s="32" t="s">
        <v>110</v>
      </c>
      <c r="P39" s="32" t="s">
        <v>111</v>
      </c>
      <c r="Q39" s="32"/>
      <c r="R39" s="32"/>
      <c r="S39" s="32"/>
      <c r="T39" s="32"/>
      <c r="U39" s="32"/>
      <c r="V39" s="32"/>
    </row>
    <row r="40" spans="1:22" ht="15.6" x14ac:dyDescent="0.3">
      <c r="A40" s="32"/>
      <c r="B40" s="34" t="s">
        <v>43</v>
      </c>
      <c r="C40" s="35">
        <f>C41+C42</f>
        <v>100</v>
      </c>
      <c r="D40" s="35">
        <f t="shared" ref="D40:G40" si="14">D41+D42</f>
        <v>100</v>
      </c>
      <c r="E40" s="35">
        <f t="shared" si="14"/>
        <v>100</v>
      </c>
      <c r="F40" s="35">
        <f t="shared" si="14"/>
        <v>100</v>
      </c>
      <c r="G40" s="35">
        <f t="shared" si="14"/>
        <v>100</v>
      </c>
      <c r="H40" s="36">
        <f>AVERAGE(C40:G40)</f>
        <v>100</v>
      </c>
      <c r="I40" s="36" t="s">
        <v>122</v>
      </c>
      <c r="J40" s="37">
        <f>_xlfn.STDEV.P(C40:G40)</f>
        <v>0</v>
      </c>
      <c r="K40" s="32"/>
      <c r="L40" s="32">
        <v>1</v>
      </c>
      <c r="M40" s="32">
        <f>P3</f>
        <v>35.799999999999997</v>
      </c>
      <c r="N40" s="32">
        <f t="shared" ref="N40:P40" si="15">Q3</f>
        <v>4.2</v>
      </c>
      <c r="O40" s="32">
        <f t="shared" si="15"/>
        <v>54</v>
      </c>
      <c r="P40" s="32">
        <f t="shared" si="15"/>
        <v>6</v>
      </c>
      <c r="Q40" s="32"/>
      <c r="R40" s="32"/>
      <c r="S40" s="32"/>
      <c r="T40" s="32"/>
      <c r="U40" s="32"/>
      <c r="V40" s="32"/>
    </row>
    <row r="41" spans="1:22" ht="15.6" x14ac:dyDescent="0.3">
      <c r="A41" s="32"/>
      <c r="B41" s="34" t="s">
        <v>45</v>
      </c>
      <c r="C41" s="50">
        <v>96</v>
      </c>
      <c r="D41" s="50">
        <v>94</v>
      </c>
      <c r="E41" s="50">
        <v>91</v>
      </c>
      <c r="F41" s="50">
        <v>94</v>
      </c>
      <c r="G41" s="50">
        <v>94</v>
      </c>
      <c r="H41" s="36">
        <f t="shared" ref="H41:H47" si="16">AVERAGE(C41:G41)</f>
        <v>93.8</v>
      </c>
      <c r="I41" s="36" t="s">
        <v>122</v>
      </c>
      <c r="J41" s="37">
        <f t="shared" ref="J41:J47" si="17">_xlfn.STDEV.P(C41:G41)</f>
        <v>1.5999999999999999</v>
      </c>
      <c r="K41" s="32"/>
      <c r="L41" s="32">
        <v>2</v>
      </c>
      <c r="M41" s="32">
        <f t="shared" ref="M41:M45" si="18">P4</f>
        <v>79.2</v>
      </c>
      <c r="N41" s="32">
        <f t="shared" ref="N41:N45" si="19">Q4</f>
        <v>28.8</v>
      </c>
      <c r="O41" s="32">
        <f t="shared" ref="O41:O45" si="20">R4</f>
        <v>142.19999999999999</v>
      </c>
      <c r="P41" s="32">
        <f t="shared" ref="P41:P45" si="21">S4</f>
        <v>39.799999999999997</v>
      </c>
      <c r="Q41" s="32"/>
      <c r="R41" s="32"/>
      <c r="S41" s="32"/>
      <c r="T41" s="32"/>
      <c r="U41" s="32"/>
      <c r="V41" s="32"/>
    </row>
    <row r="42" spans="1:22" ht="15.6" x14ac:dyDescent="0.3">
      <c r="A42" s="32"/>
      <c r="B42" s="34" t="s">
        <v>47</v>
      </c>
      <c r="C42" s="50">
        <v>4</v>
      </c>
      <c r="D42" s="50">
        <v>6</v>
      </c>
      <c r="E42" s="50">
        <v>9</v>
      </c>
      <c r="F42" s="50">
        <v>6</v>
      </c>
      <c r="G42" s="50">
        <v>6</v>
      </c>
      <c r="H42" s="36">
        <f t="shared" si="16"/>
        <v>6.2</v>
      </c>
      <c r="I42" s="36" t="s">
        <v>122</v>
      </c>
      <c r="J42" s="37">
        <f t="shared" si="17"/>
        <v>1.6</v>
      </c>
      <c r="K42" s="32"/>
      <c r="L42" s="32">
        <v>3</v>
      </c>
      <c r="M42" s="32">
        <f t="shared" si="18"/>
        <v>40.200000000000003</v>
      </c>
      <c r="N42" s="32">
        <f t="shared" si="19"/>
        <v>19.8</v>
      </c>
      <c r="O42" s="32">
        <f t="shared" si="20"/>
        <v>41</v>
      </c>
      <c r="P42" s="32">
        <f t="shared" si="21"/>
        <v>9</v>
      </c>
      <c r="Q42" s="32"/>
      <c r="R42" s="32"/>
      <c r="S42" s="32"/>
      <c r="T42" s="32"/>
      <c r="U42" s="32"/>
      <c r="V42" s="32"/>
    </row>
    <row r="43" spans="1:22" ht="15.6" x14ac:dyDescent="0.3">
      <c r="A43" s="32"/>
      <c r="B43" s="34" t="s">
        <v>49</v>
      </c>
      <c r="C43" s="50">
        <v>43</v>
      </c>
      <c r="D43" s="50">
        <v>40</v>
      </c>
      <c r="E43" s="50">
        <v>38</v>
      </c>
      <c r="F43" s="50">
        <v>42</v>
      </c>
      <c r="G43" s="50">
        <v>39</v>
      </c>
      <c r="H43" s="36">
        <f t="shared" si="16"/>
        <v>40.4</v>
      </c>
      <c r="I43" s="36" t="s">
        <v>122</v>
      </c>
      <c r="J43" s="37">
        <f t="shared" si="17"/>
        <v>1.8547236990991407</v>
      </c>
      <c r="K43" s="32"/>
      <c r="L43" s="32">
        <v>4</v>
      </c>
      <c r="M43" s="32">
        <f t="shared" si="18"/>
        <v>40.4</v>
      </c>
      <c r="N43" s="32">
        <f t="shared" si="19"/>
        <v>4.5999999999999996</v>
      </c>
      <c r="O43" s="32">
        <f t="shared" si="20"/>
        <v>53.4</v>
      </c>
      <c r="P43" s="32">
        <f t="shared" si="21"/>
        <v>1.6</v>
      </c>
      <c r="Q43" s="32"/>
      <c r="R43" s="32"/>
      <c r="S43" s="32"/>
      <c r="T43" s="32"/>
      <c r="U43" s="32"/>
      <c r="V43" s="32"/>
    </row>
    <row r="44" spans="1:22" ht="15.6" x14ac:dyDescent="0.3">
      <c r="A44" s="32"/>
      <c r="B44" s="34" t="s">
        <v>51</v>
      </c>
      <c r="C44" s="50">
        <v>2</v>
      </c>
      <c r="D44" s="50">
        <v>5</v>
      </c>
      <c r="E44" s="50">
        <v>7</v>
      </c>
      <c r="F44" s="50">
        <v>3</v>
      </c>
      <c r="G44" s="50">
        <v>6</v>
      </c>
      <c r="H44" s="36">
        <f t="shared" si="16"/>
        <v>4.5999999999999996</v>
      </c>
      <c r="I44" s="36" t="s">
        <v>122</v>
      </c>
      <c r="J44" s="37">
        <f t="shared" si="17"/>
        <v>1.8547236990991407</v>
      </c>
      <c r="K44" s="32"/>
      <c r="L44" s="32">
        <v>5</v>
      </c>
      <c r="M44" s="32">
        <f t="shared" si="18"/>
        <v>35.4</v>
      </c>
      <c r="N44" s="32">
        <f t="shared" si="19"/>
        <v>4.5999999999999996</v>
      </c>
      <c r="O44" s="32">
        <f t="shared" si="20"/>
        <v>56</v>
      </c>
      <c r="P44" s="32">
        <f t="shared" si="21"/>
        <v>4</v>
      </c>
      <c r="Q44" s="32"/>
      <c r="R44" s="32"/>
      <c r="S44" s="32"/>
      <c r="T44" s="32"/>
      <c r="U44" s="32"/>
      <c r="V44" s="32"/>
    </row>
    <row r="45" spans="1:22" ht="15.6" x14ac:dyDescent="0.3">
      <c r="A45" s="32"/>
      <c r="B45" s="34" t="s">
        <v>53</v>
      </c>
      <c r="C45" s="50">
        <v>53</v>
      </c>
      <c r="D45" s="50">
        <v>54</v>
      </c>
      <c r="E45" s="50">
        <v>53</v>
      </c>
      <c r="F45" s="50">
        <v>52</v>
      </c>
      <c r="G45" s="50">
        <v>55</v>
      </c>
      <c r="H45" s="36">
        <f t="shared" si="16"/>
        <v>53.4</v>
      </c>
      <c r="I45" s="36" t="s">
        <v>122</v>
      </c>
      <c r="J45" s="37">
        <f t="shared" si="17"/>
        <v>1.0198039027185568</v>
      </c>
      <c r="K45" s="32"/>
      <c r="L45" s="32">
        <v>6</v>
      </c>
      <c r="M45" s="32">
        <f t="shared" si="18"/>
        <v>0</v>
      </c>
      <c r="N45" s="32">
        <f t="shared" si="19"/>
        <v>0</v>
      </c>
      <c r="O45" s="32">
        <f t="shared" si="20"/>
        <v>86.4</v>
      </c>
      <c r="P45" s="32">
        <f t="shared" si="21"/>
        <v>13.6</v>
      </c>
      <c r="Q45" s="32"/>
      <c r="R45" s="32"/>
      <c r="S45" s="32"/>
      <c r="T45" s="32"/>
      <c r="U45" s="32"/>
      <c r="V45" s="32"/>
    </row>
    <row r="46" spans="1:22" ht="15.6" x14ac:dyDescent="0.3">
      <c r="A46" s="32"/>
      <c r="B46" s="34" t="s">
        <v>55</v>
      </c>
      <c r="C46" s="50">
        <v>2</v>
      </c>
      <c r="D46" s="50">
        <v>1</v>
      </c>
      <c r="E46" s="50">
        <v>2</v>
      </c>
      <c r="F46" s="50">
        <v>3</v>
      </c>
      <c r="G46" s="50">
        <v>0</v>
      </c>
      <c r="H46" s="36">
        <f t="shared" si="16"/>
        <v>1.6</v>
      </c>
      <c r="I46" s="36" t="s">
        <v>122</v>
      </c>
      <c r="J46" s="37">
        <f t="shared" si="17"/>
        <v>1.019803902718557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 spans="1:22" ht="16.2" thickBot="1" x14ac:dyDescent="0.35">
      <c r="A47" s="32"/>
      <c r="B47" s="38" t="s">
        <v>57</v>
      </c>
      <c r="C47" s="51">
        <v>43</v>
      </c>
      <c r="D47" s="51">
        <v>42</v>
      </c>
      <c r="E47" s="51">
        <v>45</v>
      </c>
      <c r="F47" s="51">
        <v>41</v>
      </c>
      <c r="G47" s="51">
        <v>35</v>
      </c>
      <c r="H47" s="40">
        <f t="shared" si="16"/>
        <v>41.2</v>
      </c>
      <c r="I47" s="40" t="s">
        <v>122</v>
      </c>
      <c r="J47" s="41">
        <f t="shared" si="17"/>
        <v>3.3704599092705432</v>
      </c>
      <c r="K47" s="32"/>
      <c r="L47" s="32" t="s">
        <v>115</v>
      </c>
      <c r="M47" s="32" t="str">
        <f>B79</f>
        <v xml:space="preserve">Vivos que conocen edificio </v>
      </c>
      <c r="N47" s="32" t="str">
        <f>B80</f>
        <v xml:space="preserve">Muertos que conocen edificio </v>
      </c>
      <c r="O47" s="32" t="str">
        <f>B81</f>
        <v xml:space="preserve">Vivos que no conocen edificio </v>
      </c>
      <c r="P47" s="32" t="str">
        <f>B82</f>
        <v xml:space="preserve">Muertos que no conocen edificio </v>
      </c>
      <c r="Q47" s="32"/>
      <c r="R47" s="32"/>
      <c r="S47" s="32"/>
      <c r="T47" s="32"/>
      <c r="U47" s="32"/>
      <c r="V47" s="32"/>
    </row>
    <row r="48" spans="1:22" ht="19.2" x14ac:dyDescent="0.3">
      <c r="A48" s="32"/>
      <c r="B48" s="33" t="s">
        <v>123</v>
      </c>
      <c r="C48" s="42"/>
      <c r="D48" s="42"/>
      <c r="E48" s="42"/>
      <c r="F48" s="42"/>
      <c r="G48" s="42"/>
      <c r="H48" s="42"/>
      <c r="I48" s="42"/>
      <c r="J48" s="42"/>
      <c r="K48" s="32"/>
      <c r="L48" s="32"/>
      <c r="M48" s="47">
        <f>H79</f>
        <v>55.6</v>
      </c>
      <c r="N48" s="47">
        <f>H80</f>
        <v>5.2</v>
      </c>
      <c r="O48" s="47">
        <f>H81</f>
        <v>45.4</v>
      </c>
      <c r="P48" s="47">
        <f>H82</f>
        <v>13.8</v>
      </c>
      <c r="Q48" s="47"/>
      <c r="R48" s="32"/>
      <c r="S48" s="32"/>
      <c r="T48" s="32"/>
      <c r="U48" s="32"/>
      <c r="V48" s="32"/>
    </row>
    <row r="49" spans="1:22" ht="15.6" x14ac:dyDescent="0.3">
      <c r="A49" s="32"/>
      <c r="B49" s="32"/>
      <c r="C49" s="42"/>
      <c r="D49" s="42"/>
      <c r="E49" s="42"/>
      <c r="F49" s="42"/>
      <c r="G49" s="42"/>
      <c r="H49" s="42"/>
      <c r="I49" s="42"/>
      <c r="J49" s="42"/>
      <c r="K49" s="32"/>
      <c r="L49" s="32"/>
      <c r="M49" s="47"/>
      <c r="N49" s="47"/>
      <c r="O49" s="47"/>
      <c r="P49" s="47"/>
      <c r="Q49" s="47"/>
      <c r="R49" s="32"/>
      <c r="S49" s="32"/>
      <c r="T49" s="32"/>
      <c r="U49" s="32"/>
      <c r="V49" s="32"/>
    </row>
    <row r="50" spans="1:22" ht="16.2" thickBot="1" x14ac:dyDescent="0.35">
      <c r="A50" s="32" t="s">
        <v>65</v>
      </c>
      <c r="B50" s="43" t="s">
        <v>66</v>
      </c>
      <c r="C50" s="42"/>
      <c r="D50" s="42"/>
      <c r="E50" s="42"/>
      <c r="F50" s="42"/>
      <c r="G50" s="42"/>
      <c r="H50" s="42"/>
      <c r="I50" s="42"/>
      <c r="J50" s="4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</row>
    <row r="51" spans="1:22" ht="15.6" x14ac:dyDescent="0.3">
      <c r="A51" s="32"/>
      <c r="B51" s="48" t="s">
        <v>36</v>
      </c>
      <c r="C51" s="49" t="s">
        <v>37</v>
      </c>
      <c r="D51" s="49" t="s">
        <v>38</v>
      </c>
      <c r="E51" s="49" t="s">
        <v>39</v>
      </c>
      <c r="F51" s="49" t="s">
        <v>98</v>
      </c>
      <c r="G51" s="49" t="s">
        <v>99</v>
      </c>
      <c r="H51" s="49" t="s">
        <v>40</v>
      </c>
      <c r="I51" s="49"/>
      <c r="J51" s="49" t="s">
        <v>121</v>
      </c>
      <c r="K51" s="32"/>
      <c r="L51" s="32" t="s">
        <v>116</v>
      </c>
      <c r="M51" s="32" t="str" cm="1">
        <f t="array" ref="M51:V51">TRANSPOSE(B91:B100)</f>
        <v xml:space="preserve">Pacientes que no conocen edificio </v>
      </c>
      <c r="N51" s="32" t="str">
        <v>Sanos que no conocen edificio</v>
      </c>
      <c r="O51" s="32" t="str">
        <v xml:space="preserve">Vivos. Sanos, conocen edificio </v>
      </c>
      <c r="P51" s="32" t="str">
        <v>Vivos. Sanos, no conocen edificio</v>
      </c>
      <c r="Q51" s="32" t="str">
        <v xml:space="preserve">Vivos. Pacientes, conocen edificio </v>
      </c>
      <c r="R51" s="32" t="str">
        <v>Vivos. Pacientes, no conocen edificio</v>
      </c>
      <c r="S51" s="32" t="str">
        <v xml:space="preserve">Muertos. Sanos, conocen edificio </v>
      </c>
      <c r="T51" s="32" t="str">
        <v>Muertos. Sanos, no conocen edificio</v>
      </c>
      <c r="U51" s="32" t="str">
        <v xml:space="preserve">Muertos. Pacientes, conocen edificio </v>
      </c>
      <c r="V51" s="32" t="str">
        <v>Muertos. Pacientes, no conocen edificio</v>
      </c>
    </row>
    <row r="52" spans="1:22" ht="15.6" x14ac:dyDescent="0.3">
      <c r="A52" s="32"/>
      <c r="B52" s="34" t="s">
        <v>43</v>
      </c>
      <c r="C52" s="35">
        <f>C53+C54</f>
        <v>100</v>
      </c>
      <c r="D52" s="35">
        <f t="shared" ref="D52:G52" si="22">D53+D54</f>
        <v>100</v>
      </c>
      <c r="E52" s="35">
        <f t="shared" si="22"/>
        <v>100</v>
      </c>
      <c r="F52" s="35">
        <f t="shared" si="22"/>
        <v>100</v>
      </c>
      <c r="G52" s="35">
        <f t="shared" si="22"/>
        <v>100</v>
      </c>
      <c r="H52" s="36">
        <f>AVERAGE(C52:G52)</f>
        <v>100</v>
      </c>
      <c r="I52" s="36" t="s">
        <v>122</v>
      </c>
      <c r="J52" s="37">
        <f>_xlfn.STDEV.P(C52:G52)</f>
        <v>0</v>
      </c>
      <c r="K52" s="32"/>
      <c r="L52" s="32"/>
      <c r="M52" s="32" cm="1">
        <f t="array" ref="M52:V52">TRANSPOSE(H91:H100)</f>
        <v>28.8</v>
      </c>
      <c r="N52" s="32">
        <v>23.2</v>
      </c>
      <c r="O52" s="32">
        <v>31</v>
      </c>
      <c r="P52" s="32">
        <v>19.600000000000001</v>
      </c>
      <c r="Q52" s="32">
        <v>27</v>
      </c>
      <c r="R52" s="32">
        <v>20.2</v>
      </c>
      <c r="S52" s="32">
        <v>0.8</v>
      </c>
      <c r="T52" s="32">
        <v>3.6</v>
      </c>
      <c r="U52" s="32">
        <v>2.2000000000000002</v>
      </c>
      <c r="V52" s="32">
        <v>8.6</v>
      </c>
    </row>
    <row r="53" spans="1:22" ht="15.6" x14ac:dyDescent="0.3">
      <c r="A53" s="32"/>
      <c r="B53" s="34" t="s">
        <v>45</v>
      </c>
      <c r="C53" s="35">
        <v>91</v>
      </c>
      <c r="D53" s="35">
        <v>84</v>
      </c>
      <c r="E53" s="35">
        <v>93</v>
      </c>
      <c r="F53" s="35">
        <v>95</v>
      </c>
      <c r="G53" s="35">
        <v>94</v>
      </c>
      <c r="H53" s="36">
        <f t="shared" ref="H53:H58" si="23">AVERAGE(C53:G53)</f>
        <v>91.4</v>
      </c>
      <c r="I53" s="36" t="s">
        <v>122</v>
      </c>
      <c r="J53" s="37">
        <f t="shared" ref="J53:J59" si="24">_xlfn.STDEV.P(C53:G53)</f>
        <v>3.9293765408777004</v>
      </c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 spans="1:22" ht="15.6" x14ac:dyDescent="0.3">
      <c r="A54" s="32"/>
      <c r="B54" s="34" t="s">
        <v>47</v>
      </c>
      <c r="C54" s="35">
        <v>9</v>
      </c>
      <c r="D54" s="35">
        <v>16</v>
      </c>
      <c r="E54" s="35">
        <v>7</v>
      </c>
      <c r="F54" s="35">
        <v>5</v>
      </c>
      <c r="G54" s="35">
        <v>6</v>
      </c>
      <c r="H54" s="36">
        <f t="shared" si="23"/>
        <v>8.6</v>
      </c>
      <c r="I54" s="36" t="s">
        <v>122</v>
      </c>
      <c r="J54" s="37">
        <f t="shared" si="24"/>
        <v>3.9293765408776999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 spans="1:22" ht="15.6" x14ac:dyDescent="0.3">
      <c r="A55" s="32"/>
      <c r="B55" s="34" t="s">
        <v>49</v>
      </c>
      <c r="C55" s="35">
        <v>37</v>
      </c>
      <c r="D55" s="35">
        <v>33</v>
      </c>
      <c r="E55" s="35">
        <v>35</v>
      </c>
      <c r="F55" s="35">
        <v>35</v>
      </c>
      <c r="G55" s="35">
        <v>37</v>
      </c>
      <c r="H55" s="36">
        <f t="shared" si="23"/>
        <v>35.4</v>
      </c>
      <c r="I55" s="36" t="s">
        <v>122</v>
      </c>
      <c r="J55" s="37">
        <f t="shared" si="24"/>
        <v>1.4966629547095764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 spans="1:22" ht="15.6" x14ac:dyDescent="0.3">
      <c r="A56" s="32"/>
      <c r="B56" s="34" t="s">
        <v>51</v>
      </c>
      <c r="C56" s="35">
        <v>3</v>
      </c>
      <c r="D56" s="35">
        <v>7</v>
      </c>
      <c r="E56" s="35">
        <v>5</v>
      </c>
      <c r="F56" s="35">
        <v>5</v>
      </c>
      <c r="G56" s="35">
        <v>3</v>
      </c>
      <c r="H56" s="36">
        <f t="shared" si="23"/>
        <v>4.5999999999999996</v>
      </c>
      <c r="I56" s="36" t="s">
        <v>122</v>
      </c>
      <c r="J56" s="37">
        <f t="shared" si="24"/>
        <v>1.4966629547095767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</row>
    <row r="57" spans="1:22" ht="15.6" x14ac:dyDescent="0.3">
      <c r="A57" s="32"/>
      <c r="B57" s="34" t="s">
        <v>53</v>
      </c>
      <c r="C57" s="35">
        <v>54</v>
      </c>
      <c r="D57" s="35">
        <v>51</v>
      </c>
      <c r="E57" s="35">
        <v>58</v>
      </c>
      <c r="F57" s="35">
        <v>60</v>
      </c>
      <c r="G57" s="35">
        <v>57</v>
      </c>
      <c r="H57" s="36">
        <f t="shared" si="23"/>
        <v>56</v>
      </c>
      <c r="I57" s="36" t="s">
        <v>122</v>
      </c>
      <c r="J57" s="37">
        <f t="shared" si="24"/>
        <v>3.1622776601683795</v>
      </c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</row>
    <row r="58" spans="1:22" ht="15.6" x14ac:dyDescent="0.3">
      <c r="A58" s="32"/>
      <c r="B58" s="34" t="s">
        <v>55</v>
      </c>
      <c r="C58" s="35">
        <v>6</v>
      </c>
      <c r="D58" s="35">
        <v>9</v>
      </c>
      <c r="E58" s="35">
        <v>2</v>
      </c>
      <c r="F58" s="35">
        <v>0</v>
      </c>
      <c r="G58" s="35">
        <v>3</v>
      </c>
      <c r="H58" s="36">
        <f t="shared" si="23"/>
        <v>4</v>
      </c>
      <c r="I58" s="36" t="s">
        <v>122</v>
      </c>
      <c r="J58" s="37">
        <f t="shared" si="24"/>
        <v>3.1622776601683795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2" ht="16.2" thickBot="1" x14ac:dyDescent="0.35">
      <c r="A59" s="32"/>
      <c r="B59" s="38" t="s">
        <v>57</v>
      </c>
      <c r="C59" s="39">
        <v>32</v>
      </c>
      <c r="D59" s="39">
        <v>25</v>
      </c>
      <c r="E59" s="39">
        <v>29</v>
      </c>
      <c r="F59" s="39">
        <v>28</v>
      </c>
      <c r="G59" s="39">
        <v>29</v>
      </c>
      <c r="H59" s="40">
        <f>AVERAGE(C59:G59)</f>
        <v>28.6</v>
      </c>
      <c r="I59" s="40" t="s">
        <v>122</v>
      </c>
      <c r="J59" s="41">
        <f t="shared" si="24"/>
        <v>2.2449944320643649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 spans="1:22" ht="19.2" x14ac:dyDescent="0.3">
      <c r="B60" s="33" t="s">
        <v>123</v>
      </c>
    </row>
    <row r="62" spans="1:22" ht="15" thickBot="1" x14ac:dyDescent="0.35">
      <c r="A62" s="18" t="s">
        <v>67</v>
      </c>
      <c r="B62" s="20" t="s">
        <v>68</v>
      </c>
    </row>
    <row r="63" spans="1:22" x14ac:dyDescent="0.3">
      <c r="B63" s="21" t="s">
        <v>36</v>
      </c>
      <c r="C63" s="22" t="s">
        <v>37</v>
      </c>
      <c r="D63" s="22" t="s">
        <v>38</v>
      </c>
      <c r="E63" s="22" t="s">
        <v>39</v>
      </c>
      <c r="F63" s="22" t="s">
        <v>98</v>
      </c>
      <c r="G63" s="22" t="s">
        <v>99</v>
      </c>
      <c r="H63" s="22" t="s">
        <v>40</v>
      </c>
      <c r="I63" s="22"/>
      <c r="J63" s="22" t="s">
        <v>121</v>
      </c>
    </row>
    <row r="64" spans="1:22" x14ac:dyDescent="0.3">
      <c r="B64" s="23" t="s">
        <v>43</v>
      </c>
      <c r="C64" s="24">
        <f>C65+C66</f>
        <v>100</v>
      </c>
      <c r="D64" s="24">
        <f t="shared" ref="D64:G64" si="25">D65+D66</f>
        <v>100</v>
      </c>
      <c r="E64" s="24">
        <f t="shared" si="25"/>
        <v>100</v>
      </c>
      <c r="F64" s="24">
        <f t="shared" si="25"/>
        <v>100</v>
      </c>
      <c r="G64" s="24">
        <f t="shared" si="25"/>
        <v>100</v>
      </c>
      <c r="H64" s="25">
        <f>AVERAGE(C64:G64)</f>
        <v>100</v>
      </c>
      <c r="I64" s="25" t="s">
        <v>122</v>
      </c>
      <c r="J64" s="26">
        <f>_xlfn.STDEV.P(C64:G64)</f>
        <v>0</v>
      </c>
    </row>
    <row r="65" spans="1:10" x14ac:dyDescent="0.3">
      <c r="B65" s="23" t="s">
        <v>45</v>
      </c>
      <c r="C65" s="24">
        <v>94</v>
      </c>
      <c r="D65" s="24">
        <v>75</v>
      </c>
      <c r="E65" s="24">
        <v>92</v>
      </c>
      <c r="F65" s="24">
        <v>91</v>
      </c>
      <c r="G65" s="24">
        <v>80</v>
      </c>
      <c r="H65" s="25">
        <f t="shared" ref="H65:H70" si="26">AVERAGE(C65:G65)</f>
        <v>86.4</v>
      </c>
      <c r="I65" s="25" t="s">
        <v>122</v>
      </c>
      <c r="J65" s="26">
        <f t="shared" ref="J65:J71" si="27">_xlfn.STDEV.P(C65:G65)</f>
        <v>7.4993333037010697</v>
      </c>
    </row>
    <row r="66" spans="1:10" x14ac:dyDescent="0.3">
      <c r="B66" s="23" t="s">
        <v>47</v>
      </c>
      <c r="C66" s="24">
        <v>6</v>
      </c>
      <c r="D66" s="24">
        <v>25</v>
      </c>
      <c r="E66" s="24">
        <v>8</v>
      </c>
      <c r="F66" s="24">
        <v>9</v>
      </c>
      <c r="G66" s="24">
        <v>20</v>
      </c>
      <c r="H66" s="25">
        <f t="shared" si="26"/>
        <v>13.6</v>
      </c>
      <c r="I66" s="25" t="s">
        <v>122</v>
      </c>
      <c r="J66" s="26">
        <f t="shared" si="27"/>
        <v>7.4993333037010697</v>
      </c>
    </row>
    <row r="67" spans="1:10" hidden="1" x14ac:dyDescent="0.3">
      <c r="B67" s="23" t="s">
        <v>49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5">
        <f t="shared" si="26"/>
        <v>0</v>
      </c>
      <c r="I67" s="25" t="s">
        <v>122</v>
      </c>
      <c r="J67" s="26">
        <f t="shared" si="27"/>
        <v>0</v>
      </c>
    </row>
    <row r="68" spans="1:10" hidden="1" x14ac:dyDescent="0.3">
      <c r="B68" s="23" t="s">
        <v>51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5">
        <f t="shared" si="26"/>
        <v>0</v>
      </c>
      <c r="I68" s="25" t="s">
        <v>122</v>
      </c>
      <c r="J68" s="26">
        <f t="shared" si="27"/>
        <v>0</v>
      </c>
    </row>
    <row r="69" spans="1:10" x14ac:dyDescent="0.3">
      <c r="B69" s="23" t="s">
        <v>53</v>
      </c>
      <c r="C69" s="24">
        <v>94</v>
      </c>
      <c r="D69" s="24">
        <v>75</v>
      </c>
      <c r="E69" s="24">
        <v>92</v>
      </c>
      <c r="F69" s="24">
        <v>91</v>
      </c>
      <c r="G69" s="24">
        <v>80</v>
      </c>
      <c r="H69" s="25">
        <f t="shared" si="26"/>
        <v>86.4</v>
      </c>
      <c r="I69" s="25" t="s">
        <v>122</v>
      </c>
      <c r="J69" s="26">
        <f t="shared" si="27"/>
        <v>7.4993333037010697</v>
      </c>
    </row>
    <row r="70" spans="1:10" x14ac:dyDescent="0.3">
      <c r="B70" s="23" t="s">
        <v>55</v>
      </c>
      <c r="C70" s="24">
        <v>6</v>
      </c>
      <c r="D70" s="24">
        <v>25</v>
      </c>
      <c r="E70" s="24">
        <v>8</v>
      </c>
      <c r="F70" s="24">
        <v>9</v>
      </c>
      <c r="G70" s="24">
        <v>20</v>
      </c>
      <c r="H70" s="25">
        <f t="shared" si="26"/>
        <v>13.6</v>
      </c>
      <c r="I70" s="25" t="s">
        <v>122</v>
      </c>
      <c r="J70" s="26">
        <f t="shared" si="27"/>
        <v>7.4993333037010697</v>
      </c>
    </row>
    <row r="71" spans="1:10" ht="15" thickBot="1" x14ac:dyDescent="0.35">
      <c r="B71" s="27" t="s">
        <v>57</v>
      </c>
      <c r="C71" s="28">
        <v>47</v>
      </c>
      <c r="D71" s="28">
        <v>50</v>
      </c>
      <c r="E71" s="28">
        <v>55</v>
      </c>
      <c r="F71" s="28">
        <v>42</v>
      </c>
      <c r="G71" s="28">
        <v>49</v>
      </c>
      <c r="H71" s="29">
        <f t="shared" ref="H71" si="28">AVERAGE(C71:G71)</f>
        <v>48.6</v>
      </c>
      <c r="I71" s="29" t="s">
        <v>122</v>
      </c>
      <c r="J71" s="30">
        <f t="shared" si="27"/>
        <v>4.2237424163885748</v>
      </c>
    </row>
    <row r="72" spans="1:10" ht="19.2" x14ac:dyDescent="0.3">
      <c r="B72" s="33" t="s">
        <v>123</v>
      </c>
    </row>
    <row r="74" spans="1:10" ht="15" thickBot="1" x14ac:dyDescent="0.35">
      <c r="A74" s="18" t="s">
        <v>69</v>
      </c>
      <c r="B74" s="20" t="s">
        <v>70</v>
      </c>
    </row>
    <row r="75" spans="1:10" x14ac:dyDescent="0.3">
      <c r="B75" s="21" t="s">
        <v>36</v>
      </c>
      <c r="C75" s="22" t="s">
        <v>37</v>
      </c>
      <c r="D75" s="22" t="s">
        <v>38</v>
      </c>
      <c r="E75" s="22" t="s">
        <v>39</v>
      </c>
      <c r="F75" s="22" t="s">
        <v>98</v>
      </c>
      <c r="G75" s="22" t="s">
        <v>99</v>
      </c>
      <c r="H75" s="22" t="s">
        <v>40</v>
      </c>
      <c r="I75" s="22"/>
      <c r="J75" s="22" t="s">
        <v>121</v>
      </c>
    </row>
    <row r="76" spans="1:10" x14ac:dyDescent="0.3">
      <c r="B76" s="23" t="s">
        <v>43</v>
      </c>
      <c r="C76" s="24">
        <f>C77+C78</f>
        <v>120</v>
      </c>
      <c r="D76" s="24">
        <f>D77+D78</f>
        <v>120</v>
      </c>
      <c r="E76" s="24">
        <f t="shared" ref="E76:G76" si="29">E77+E78</f>
        <v>120</v>
      </c>
      <c r="F76" s="24">
        <f t="shared" si="29"/>
        <v>120</v>
      </c>
      <c r="G76" s="24">
        <f t="shared" si="29"/>
        <v>120</v>
      </c>
      <c r="H76" s="25">
        <f>AVERAGE(C76:G76)</f>
        <v>120</v>
      </c>
      <c r="I76" s="25" t="s">
        <v>122</v>
      </c>
      <c r="J76" s="26">
        <f>_xlfn.STDEV.P(C76:G76)</f>
        <v>0</v>
      </c>
    </row>
    <row r="77" spans="1:10" x14ac:dyDescent="0.3">
      <c r="B77" s="23" t="s">
        <v>106</v>
      </c>
      <c r="C77" s="24">
        <v>93</v>
      </c>
      <c r="D77" s="24">
        <v>100</v>
      </c>
      <c r="E77" s="24">
        <v>105</v>
      </c>
      <c r="F77" s="24">
        <v>103</v>
      </c>
      <c r="G77" s="24">
        <v>104</v>
      </c>
      <c r="H77" s="25">
        <f t="shared" ref="H77:H83" si="30">AVERAGE(C77:G77)</f>
        <v>101</v>
      </c>
      <c r="I77" s="25" t="s">
        <v>122</v>
      </c>
      <c r="J77" s="26">
        <f t="shared" ref="J77:J83" si="31">_xlfn.STDEV.P(C77:G77)</f>
        <v>4.3358966777357599</v>
      </c>
    </row>
    <row r="78" spans="1:10" x14ac:dyDescent="0.3">
      <c r="B78" s="23" t="s">
        <v>107</v>
      </c>
      <c r="C78" s="24">
        <v>27</v>
      </c>
      <c r="D78" s="24">
        <v>20</v>
      </c>
      <c r="E78" s="24">
        <v>15</v>
      </c>
      <c r="F78" s="24">
        <v>17</v>
      </c>
      <c r="G78" s="24">
        <v>16</v>
      </c>
      <c r="H78" s="25">
        <f t="shared" si="30"/>
        <v>19</v>
      </c>
      <c r="I78" s="25" t="s">
        <v>122</v>
      </c>
      <c r="J78" s="26">
        <f t="shared" si="31"/>
        <v>4.3358966777357599</v>
      </c>
    </row>
    <row r="79" spans="1:10" x14ac:dyDescent="0.3">
      <c r="A79" s="31" t="s">
        <v>71</v>
      </c>
      <c r="B79" s="23" t="s">
        <v>117</v>
      </c>
      <c r="C79" s="24">
        <v>47</v>
      </c>
      <c r="D79" s="24">
        <v>56</v>
      </c>
      <c r="E79" s="24">
        <v>56</v>
      </c>
      <c r="F79" s="24">
        <v>54</v>
      </c>
      <c r="G79" s="24">
        <v>65</v>
      </c>
      <c r="H79" s="25">
        <f>AVERAGE(C79:G79)</f>
        <v>55.6</v>
      </c>
      <c r="I79" s="25" t="s">
        <v>122</v>
      </c>
      <c r="J79" s="26">
        <f>_xlfn.STDEV.P(C79:G79)</f>
        <v>5.7480431452799658</v>
      </c>
    </row>
    <row r="80" spans="1:10" x14ac:dyDescent="0.3">
      <c r="A80" s="18" t="s">
        <v>73</v>
      </c>
      <c r="B80" s="23" t="s">
        <v>118</v>
      </c>
      <c r="C80" s="24">
        <v>9</v>
      </c>
      <c r="D80" s="24">
        <v>7</v>
      </c>
      <c r="E80" s="24">
        <v>4</v>
      </c>
      <c r="F80" s="24">
        <v>1</v>
      </c>
      <c r="G80" s="24">
        <v>5</v>
      </c>
      <c r="H80" s="25">
        <f>AVERAGE(C80:G80)</f>
        <v>5.2</v>
      </c>
      <c r="I80" s="25" t="s">
        <v>122</v>
      </c>
      <c r="J80" s="26">
        <f>_xlfn.STDEV.P(C80:G80)</f>
        <v>2.7129319932501073</v>
      </c>
    </row>
    <row r="81" spans="1:10" x14ac:dyDescent="0.3">
      <c r="A81" s="18" t="s">
        <v>75</v>
      </c>
      <c r="B81" s="23" t="s">
        <v>119</v>
      </c>
      <c r="C81" s="24">
        <v>46</v>
      </c>
      <c r="D81" s="24">
        <v>44</v>
      </c>
      <c r="E81" s="24">
        <v>49</v>
      </c>
      <c r="F81" s="24">
        <v>49</v>
      </c>
      <c r="G81" s="24">
        <v>39</v>
      </c>
      <c r="H81" s="25">
        <f t="shared" si="30"/>
        <v>45.4</v>
      </c>
      <c r="I81" s="25" t="s">
        <v>122</v>
      </c>
      <c r="J81" s="26">
        <f t="shared" si="31"/>
        <v>3.7202150475476548</v>
      </c>
    </row>
    <row r="82" spans="1:10" x14ac:dyDescent="0.3">
      <c r="A82" s="18" t="s">
        <v>77</v>
      </c>
      <c r="B82" s="23" t="s">
        <v>120</v>
      </c>
      <c r="C82" s="24">
        <v>18</v>
      </c>
      <c r="D82" s="24">
        <v>13</v>
      </c>
      <c r="E82" s="24">
        <v>11</v>
      </c>
      <c r="F82" s="24">
        <v>16</v>
      </c>
      <c r="G82" s="24">
        <v>11</v>
      </c>
      <c r="H82" s="25">
        <f t="shared" si="30"/>
        <v>13.8</v>
      </c>
      <c r="I82" s="25" t="s">
        <v>122</v>
      </c>
      <c r="J82" s="26">
        <f t="shared" si="31"/>
        <v>2.7856776554368237</v>
      </c>
    </row>
    <row r="83" spans="1:10" ht="15" thickBot="1" x14ac:dyDescent="0.35">
      <c r="B83" s="27" t="s">
        <v>57</v>
      </c>
      <c r="C83" s="28">
        <v>45</v>
      </c>
      <c r="D83" s="28">
        <v>49</v>
      </c>
      <c r="E83" s="28">
        <v>48</v>
      </c>
      <c r="F83" s="28">
        <v>53</v>
      </c>
      <c r="G83" s="28">
        <v>49</v>
      </c>
      <c r="H83" s="29">
        <f t="shared" si="30"/>
        <v>48.8</v>
      </c>
      <c r="I83" s="29" t="s">
        <v>122</v>
      </c>
      <c r="J83" s="30">
        <f t="shared" si="31"/>
        <v>2.5612496949731396</v>
      </c>
    </row>
    <row r="84" spans="1:10" ht="19.2" x14ac:dyDescent="0.3">
      <c r="B84" s="33" t="s">
        <v>123</v>
      </c>
    </row>
    <row r="86" spans="1:10" ht="15" thickBot="1" x14ac:dyDescent="0.35">
      <c r="A86" s="18" t="s">
        <v>79</v>
      </c>
      <c r="B86" s="20" t="s">
        <v>80</v>
      </c>
    </row>
    <row r="87" spans="1:10" x14ac:dyDescent="0.3">
      <c r="B87" s="21" t="s">
        <v>36</v>
      </c>
      <c r="C87" s="22" t="s">
        <v>37</v>
      </c>
      <c r="D87" s="22" t="s">
        <v>38</v>
      </c>
      <c r="E87" s="22" t="s">
        <v>39</v>
      </c>
      <c r="F87" s="22" t="s">
        <v>98</v>
      </c>
      <c r="G87" s="22" t="s">
        <v>99</v>
      </c>
      <c r="H87" s="22" t="s">
        <v>40</v>
      </c>
      <c r="I87" s="22"/>
      <c r="J87" s="22" t="s">
        <v>121</v>
      </c>
    </row>
    <row r="88" spans="1:10" x14ac:dyDescent="0.3">
      <c r="B88" s="23" t="s">
        <v>43</v>
      </c>
      <c r="C88" s="24">
        <f>C89+C90</f>
        <v>113</v>
      </c>
      <c r="D88" s="24">
        <f t="shared" ref="D88:G88" si="32">D89+D90</f>
        <v>113</v>
      </c>
      <c r="E88" s="24">
        <f t="shared" si="32"/>
        <v>113</v>
      </c>
      <c r="F88" s="24">
        <f t="shared" si="32"/>
        <v>113</v>
      </c>
      <c r="G88" s="24">
        <f t="shared" si="32"/>
        <v>113</v>
      </c>
      <c r="H88" s="25">
        <f>AVERAGE(C88:G88)</f>
        <v>113</v>
      </c>
      <c r="I88" s="25" t="s">
        <v>122</v>
      </c>
      <c r="J88" s="26">
        <f>_xlfn.STDEV.P(C88:G88)</f>
        <v>0</v>
      </c>
    </row>
    <row r="89" spans="1:10" x14ac:dyDescent="0.3">
      <c r="B89" s="23" t="s">
        <v>45</v>
      </c>
      <c r="C89" s="24">
        <v>100</v>
      </c>
      <c r="D89" s="24">
        <v>103</v>
      </c>
      <c r="E89" s="24">
        <v>79</v>
      </c>
      <c r="F89" s="24">
        <v>103</v>
      </c>
      <c r="G89" s="24">
        <v>104</v>
      </c>
      <c r="H89" s="25">
        <f t="shared" ref="H89:H101" si="33">AVERAGE(C89:G89)</f>
        <v>97.8</v>
      </c>
      <c r="I89" s="25" t="s">
        <v>122</v>
      </c>
      <c r="J89" s="26">
        <f t="shared" ref="J89:J101" si="34">_xlfn.STDEV.P(C89:G89)</f>
        <v>9.4952619763753745</v>
      </c>
    </row>
    <row r="90" spans="1:10" x14ac:dyDescent="0.3">
      <c r="B90" s="23" t="s">
        <v>47</v>
      </c>
      <c r="C90" s="24">
        <v>13</v>
      </c>
      <c r="D90" s="24">
        <v>10</v>
      </c>
      <c r="E90" s="24">
        <v>34</v>
      </c>
      <c r="F90" s="24">
        <v>10</v>
      </c>
      <c r="G90" s="24">
        <v>9</v>
      </c>
      <c r="H90" s="25">
        <f t="shared" si="33"/>
        <v>15.2</v>
      </c>
      <c r="I90" s="25" t="s">
        <v>122</v>
      </c>
      <c r="J90" s="26">
        <f t="shared" si="34"/>
        <v>9.4952619763753745</v>
      </c>
    </row>
    <row r="91" spans="1:10" x14ac:dyDescent="0.3">
      <c r="A91" s="31">
        <v>0</v>
      </c>
      <c r="B91" s="23" t="s">
        <v>81</v>
      </c>
      <c r="C91" s="24">
        <v>24</v>
      </c>
      <c r="D91" s="24">
        <v>30</v>
      </c>
      <c r="E91" s="24">
        <v>25</v>
      </c>
      <c r="F91" s="24">
        <v>31</v>
      </c>
      <c r="G91" s="24">
        <v>34</v>
      </c>
      <c r="H91" s="25">
        <f t="shared" si="33"/>
        <v>28.8</v>
      </c>
      <c r="I91" s="25" t="s">
        <v>122</v>
      </c>
      <c r="J91" s="26">
        <f t="shared" si="34"/>
        <v>3.7629775444453557</v>
      </c>
    </row>
    <row r="92" spans="1:10" x14ac:dyDescent="0.3">
      <c r="A92" s="18">
        <v>1</v>
      </c>
      <c r="B92" s="23" t="s">
        <v>82</v>
      </c>
      <c r="C92" s="24">
        <v>29</v>
      </c>
      <c r="D92" s="24">
        <v>21</v>
      </c>
      <c r="E92" s="24">
        <v>25</v>
      </c>
      <c r="F92" s="24">
        <v>21</v>
      </c>
      <c r="G92" s="24">
        <v>20</v>
      </c>
      <c r="H92" s="25">
        <f t="shared" si="33"/>
        <v>23.2</v>
      </c>
      <c r="I92" s="25" t="s">
        <v>122</v>
      </c>
      <c r="J92" s="26">
        <f t="shared" si="34"/>
        <v>3.3704599092705432</v>
      </c>
    </row>
    <row r="93" spans="1:10" x14ac:dyDescent="0.3">
      <c r="A93" s="18">
        <v>2</v>
      </c>
      <c r="B93" s="23" t="s">
        <v>83</v>
      </c>
      <c r="C93" s="24">
        <v>26</v>
      </c>
      <c r="D93" s="24">
        <v>33</v>
      </c>
      <c r="E93" s="24">
        <v>28</v>
      </c>
      <c r="F93" s="24">
        <v>33</v>
      </c>
      <c r="G93" s="24">
        <v>35</v>
      </c>
      <c r="H93" s="25">
        <f t="shared" si="33"/>
        <v>31</v>
      </c>
      <c r="I93" s="25" t="s">
        <v>122</v>
      </c>
      <c r="J93" s="26">
        <f t="shared" si="34"/>
        <v>3.40587727318528</v>
      </c>
    </row>
    <row r="94" spans="1:10" x14ac:dyDescent="0.3">
      <c r="A94" s="18">
        <v>3</v>
      </c>
      <c r="B94" s="23" t="s">
        <v>84</v>
      </c>
      <c r="C94" s="24">
        <v>25</v>
      </c>
      <c r="D94" s="24">
        <v>20</v>
      </c>
      <c r="E94" s="24">
        <v>13</v>
      </c>
      <c r="F94" s="24">
        <v>20</v>
      </c>
      <c r="G94" s="24">
        <v>20</v>
      </c>
      <c r="H94" s="25">
        <f t="shared" si="33"/>
        <v>19.600000000000001</v>
      </c>
      <c r="I94" s="25" t="s">
        <v>122</v>
      </c>
      <c r="J94" s="26">
        <f t="shared" si="34"/>
        <v>3.8262252939417984</v>
      </c>
    </row>
    <row r="95" spans="1:10" x14ac:dyDescent="0.3">
      <c r="A95" s="18">
        <v>4</v>
      </c>
      <c r="B95" s="23" t="s">
        <v>85</v>
      </c>
      <c r="C95" s="24">
        <v>33</v>
      </c>
      <c r="D95" s="24">
        <v>27</v>
      </c>
      <c r="E95" s="24">
        <v>25</v>
      </c>
      <c r="F95" s="24">
        <v>26</v>
      </c>
      <c r="G95" s="24">
        <v>24</v>
      </c>
      <c r="H95" s="25">
        <f t="shared" si="33"/>
        <v>27</v>
      </c>
      <c r="I95" s="25" t="s">
        <v>122</v>
      </c>
      <c r="J95" s="26">
        <f t="shared" si="34"/>
        <v>3.1622776601683795</v>
      </c>
    </row>
    <row r="96" spans="1:10" x14ac:dyDescent="0.3">
      <c r="A96" s="18">
        <v>5</v>
      </c>
      <c r="B96" s="23" t="s">
        <v>86</v>
      </c>
      <c r="C96" s="24">
        <v>16</v>
      </c>
      <c r="D96" s="24">
        <v>23</v>
      </c>
      <c r="E96" s="24">
        <v>13</v>
      </c>
      <c r="F96" s="24">
        <v>24</v>
      </c>
      <c r="G96" s="24">
        <v>25</v>
      </c>
      <c r="H96" s="25">
        <f t="shared" si="33"/>
        <v>20.2</v>
      </c>
      <c r="I96" s="25" t="s">
        <v>122</v>
      </c>
      <c r="J96" s="26">
        <f t="shared" si="34"/>
        <v>4.7916594202843754</v>
      </c>
    </row>
    <row r="97" spans="1:10" x14ac:dyDescent="0.3">
      <c r="A97" s="18">
        <v>6</v>
      </c>
      <c r="B97" s="23" t="s">
        <v>87</v>
      </c>
      <c r="C97" s="24">
        <v>0</v>
      </c>
      <c r="D97" s="24">
        <v>1</v>
      </c>
      <c r="E97" s="24">
        <v>2</v>
      </c>
      <c r="F97" s="24">
        <v>1</v>
      </c>
      <c r="G97" s="24">
        <v>0</v>
      </c>
      <c r="H97" s="25">
        <f t="shared" si="33"/>
        <v>0.8</v>
      </c>
      <c r="I97" s="25" t="s">
        <v>122</v>
      </c>
      <c r="J97" s="26">
        <f t="shared" si="34"/>
        <v>0.74833147735478833</v>
      </c>
    </row>
    <row r="98" spans="1:10" x14ac:dyDescent="0.3">
      <c r="A98" s="18">
        <v>7</v>
      </c>
      <c r="B98" s="23" t="s">
        <v>88</v>
      </c>
      <c r="C98" s="24">
        <v>4</v>
      </c>
      <c r="D98" s="24">
        <v>1</v>
      </c>
      <c r="E98" s="24">
        <v>12</v>
      </c>
      <c r="F98" s="24">
        <v>1</v>
      </c>
      <c r="G98" s="24">
        <v>0</v>
      </c>
      <c r="H98" s="25">
        <f t="shared" si="33"/>
        <v>3.6</v>
      </c>
      <c r="I98" s="25" t="s">
        <v>122</v>
      </c>
      <c r="J98" s="26">
        <f t="shared" si="34"/>
        <v>4.4090815370097207</v>
      </c>
    </row>
    <row r="99" spans="1:10" x14ac:dyDescent="0.3">
      <c r="A99" s="18">
        <v>8</v>
      </c>
      <c r="B99" s="23" t="s">
        <v>89</v>
      </c>
      <c r="C99" s="24">
        <v>1</v>
      </c>
      <c r="D99" s="24">
        <v>1</v>
      </c>
      <c r="E99" s="24">
        <v>8</v>
      </c>
      <c r="F99" s="24">
        <v>1</v>
      </c>
      <c r="G99" s="24">
        <v>0</v>
      </c>
      <c r="H99" s="25">
        <f t="shared" si="33"/>
        <v>2.2000000000000002</v>
      </c>
      <c r="I99" s="25" t="s">
        <v>122</v>
      </c>
      <c r="J99" s="26">
        <f t="shared" si="34"/>
        <v>2.925747767665559</v>
      </c>
    </row>
    <row r="100" spans="1:10" x14ac:dyDescent="0.3">
      <c r="A100" s="18">
        <v>9</v>
      </c>
      <c r="B100" s="23" t="s">
        <v>90</v>
      </c>
      <c r="C100" s="24">
        <v>8</v>
      </c>
      <c r="D100" s="24">
        <v>7</v>
      </c>
      <c r="E100" s="24">
        <v>12</v>
      </c>
      <c r="F100" s="24">
        <v>7</v>
      </c>
      <c r="G100" s="24">
        <v>9</v>
      </c>
      <c r="H100" s="25">
        <f t="shared" si="33"/>
        <v>8.6</v>
      </c>
      <c r="I100" s="25" t="s">
        <v>122</v>
      </c>
      <c r="J100" s="26">
        <f t="shared" si="34"/>
        <v>1.8547236990991407</v>
      </c>
    </row>
    <row r="101" spans="1:10" ht="15" thickBot="1" x14ac:dyDescent="0.35">
      <c r="B101" s="27" t="s">
        <v>57</v>
      </c>
      <c r="C101" s="28">
        <v>64</v>
      </c>
      <c r="D101" s="28">
        <v>56</v>
      </c>
      <c r="E101" s="28">
        <v>49</v>
      </c>
      <c r="F101" s="28">
        <v>44</v>
      </c>
      <c r="G101" s="28">
        <v>57</v>
      </c>
      <c r="H101" s="29">
        <f t="shared" si="33"/>
        <v>54</v>
      </c>
      <c r="I101" s="29" t="s">
        <v>122</v>
      </c>
      <c r="J101" s="30">
        <f t="shared" si="34"/>
        <v>6.8992753242641358</v>
      </c>
    </row>
    <row r="102" spans="1:10" ht="19.2" x14ac:dyDescent="0.3">
      <c r="B102" s="33" t="s">
        <v>123</v>
      </c>
    </row>
    <row r="104" spans="1:10" ht="15" thickBot="1" x14ac:dyDescent="0.35">
      <c r="B104" s="20" t="s">
        <v>91</v>
      </c>
    </row>
    <row r="105" spans="1:10" x14ac:dyDescent="0.3">
      <c r="B105" s="21" t="s">
        <v>36</v>
      </c>
      <c r="C105" s="22" t="s">
        <v>37</v>
      </c>
      <c r="D105" s="22" t="s">
        <v>38</v>
      </c>
      <c r="E105" s="22" t="s">
        <v>39</v>
      </c>
      <c r="F105" s="22" t="s">
        <v>98</v>
      </c>
      <c r="G105" s="22" t="s">
        <v>99</v>
      </c>
      <c r="H105" s="22" t="s">
        <v>40</v>
      </c>
      <c r="I105" s="22"/>
      <c r="J105" s="22" t="s">
        <v>121</v>
      </c>
    </row>
    <row r="106" spans="1:10" x14ac:dyDescent="0.3">
      <c r="B106" s="23" t="s">
        <v>43</v>
      </c>
      <c r="C106" s="24">
        <f>C107+C108</f>
        <v>113</v>
      </c>
      <c r="D106" s="24">
        <f t="shared" ref="D106:G106" si="35">D107+D108</f>
        <v>113</v>
      </c>
      <c r="E106" s="24">
        <f t="shared" si="35"/>
        <v>113</v>
      </c>
      <c r="F106" s="24">
        <f t="shared" si="35"/>
        <v>113</v>
      </c>
      <c r="G106" s="24">
        <f t="shared" si="35"/>
        <v>113</v>
      </c>
      <c r="H106" s="25">
        <f>AVERAGE(C106:G106)</f>
        <v>113</v>
      </c>
      <c r="I106" s="25" t="s">
        <v>122</v>
      </c>
      <c r="J106" s="26">
        <f>_xlfn.STDEV.P(C106:G106)</f>
        <v>0</v>
      </c>
    </row>
    <row r="107" spans="1:10" x14ac:dyDescent="0.3">
      <c r="B107" s="23" t="s">
        <v>45</v>
      </c>
      <c r="C107" s="24">
        <f>C89</f>
        <v>100</v>
      </c>
      <c r="D107" s="24">
        <f t="shared" ref="D107:G107" si="36">D89</f>
        <v>103</v>
      </c>
      <c r="E107" s="24">
        <f t="shared" si="36"/>
        <v>79</v>
      </c>
      <c r="F107" s="24">
        <f t="shared" si="36"/>
        <v>103</v>
      </c>
      <c r="G107" s="24">
        <f t="shared" si="36"/>
        <v>104</v>
      </c>
      <c r="H107" s="25">
        <f t="shared" ref="H107:H112" si="37">AVERAGE(C107:G107)</f>
        <v>97.8</v>
      </c>
      <c r="I107" s="25" t="s">
        <v>122</v>
      </c>
      <c r="J107" s="26">
        <f>_xlfn.STDEV.P(C107:G107)</f>
        <v>9.4952619763753745</v>
      </c>
    </row>
    <row r="108" spans="1:10" x14ac:dyDescent="0.3">
      <c r="B108" s="23" t="s">
        <v>47</v>
      </c>
      <c r="C108" s="24">
        <f>C90</f>
        <v>13</v>
      </c>
      <c r="D108" s="24">
        <f t="shared" ref="D108:G108" si="38">D90</f>
        <v>10</v>
      </c>
      <c r="E108" s="24">
        <f t="shared" si="38"/>
        <v>34</v>
      </c>
      <c r="F108" s="24">
        <f t="shared" si="38"/>
        <v>10</v>
      </c>
      <c r="G108" s="24">
        <f t="shared" si="38"/>
        <v>9</v>
      </c>
      <c r="H108" s="25">
        <f t="shared" si="37"/>
        <v>15.2</v>
      </c>
      <c r="I108" s="25" t="s">
        <v>122</v>
      </c>
      <c r="J108" s="26">
        <f t="shared" ref="J108:J113" si="39">_xlfn.STDEV.P(C108:G108)</f>
        <v>9.4952619763753745</v>
      </c>
    </row>
    <row r="109" spans="1:10" x14ac:dyDescent="0.3">
      <c r="B109" s="23" t="s">
        <v>49</v>
      </c>
      <c r="C109" s="24">
        <f>C95+C96</f>
        <v>49</v>
      </c>
      <c r="D109" s="24">
        <f t="shared" ref="D109:G109" si="40">D95+D96</f>
        <v>50</v>
      </c>
      <c r="E109" s="24">
        <f t="shared" si="40"/>
        <v>38</v>
      </c>
      <c r="F109" s="24">
        <f t="shared" si="40"/>
        <v>50</v>
      </c>
      <c r="G109" s="24">
        <f t="shared" si="40"/>
        <v>49</v>
      </c>
      <c r="H109" s="25">
        <f t="shared" si="37"/>
        <v>47.2</v>
      </c>
      <c r="I109" s="25" t="s">
        <v>122</v>
      </c>
      <c r="J109" s="26">
        <f t="shared" si="39"/>
        <v>4.6216880033165371</v>
      </c>
    </row>
    <row r="110" spans="1:10" x14ac:dyDescent="0.3">
      <c r="B110" s="23" t="s">
        <v>51</v>
      </c>
      <c r="C110" s="24">
        <f>C99+C100</f>
        <v>9</v>
      </c>
      <c r="D110" s="24">
        <f t="shared" ref="D110:G110" si="41">D99+D100</f>
        <v>8</v>
      </c>
      <c r="E110" s="24">
        <f t="shared" si="41"/>
        <v>20</v>
      </c>
      <c r="F110" s="24">
        <f t="shared" si="41"/>
        <v>8</v>
      </c>
      <c r="G110" s="24">
        <f t="shared" si="41"/>
        <v>9</v>
      </c>
      <c r="H110" s="25">
        <f t="shared" si="37"/>
        <v>10.8</v>
      </c>
      <c r="I110" s="25" t="s">
        <v>122</v>
      </c>
      <c r="J110" s="26">
        <f t="shared" si="39"/>
        <v>4.6216880033165371</v>
      </c>
    </row>
    <row r="111" spans="1:10" x14ac:dyDescent="0.3">
      <c r="B111" s="23" t="s">
        <v>53</v>
      </c>
      <c r="C111" s="24">
        <f>C93+C94</f>
        <v>51</v>
      </c>
      <c r="D111" s="24">
        <f t="shared" ref="D111:G111" si="42">D93+D94</f>
        <v>53</v>
      </c>
      <c r="E111" s="24">
        <f t="shared" si="42"/>
        <v>41</v>
      </c>
      <c r="F111" s="24">
        <f t="shared" si="42"/>
        <v>53</v>
      </c>
      <c r="G111" s="24">
        <f t="shared" si="42"/>
        <v>55</v>
      </c>
      <c r="H111" s="25">
        <f t="shared" si="37"/>
        <v>50.6</v>
      </c>
      <c r="I111" s="25" t="s">
        <v>122</v>
      </c>
      <c r="J111" s="26">
        <f t="shared" si="39"/>
        <v>4.9638694583963421</v>
      </c>
    </row>
    <row r="112" spans="1:10" x14ac:dyDescent="0.3">
      <c r="B112" s="23" t="s">
        <v>55</v>
      </c>
      <c r="C112" s="24">
        <f>C97+C98</f>
        <v>4</v>
      </c>
      <c r="D112" s="24">
        <f t="shared" ref="D112:G112" si="43">D97+D98</f>
        <v>2</v>
      </c>
      <c r="E112" s="24">
        <f t="shared" si="43"/>
        <v>14</v>
      </c>
      <c r="F112" s="24">
        <f t="shared" si="43"/>
        <v>2</v>
      </c>
      <c r="G112" s="24">
        <f t="shared" si="43"/>
        <v>0</v>
      </c>
      <c r="H112" s="25">
        <f t="shared" si="37"/>
        <v>4.4000000000000004</v>
      </c>
      <c r="I112" s="25" t="s">
        <v>122</v>
      </c>
      <c r="J112" s="26">
        <f t="shared" si="39"/>
        <v>4.963869458396343</v>
      </c>
    </row>
    <row r="113" spans="1:10" ht="15" thickBot="1" x14ac:dyDescent="0.35">
      <c r="B113" s="27" t="s">
        <v>57</v>
      </c>
      <c r="C113" s="28">
        <f>C101</f>
        <v>64</v>
      </c>
      <c r="D113" s="28">
        <f t="shared" ref="D113:G113" si="44">D101</f>
        <v>56</v>
      </c>
      <c r="E113" s="28">
        <f t="shared" si="44"/>
        <v>49</v>
      </c>
      <c r="F113" s="28">
        <f t="shared" si="44"/>
        <v>44</v>
      </c>
      <c r="G113" s="28">
        <f t="shared" si="44"/>
        <v>57</v>
      </c>
      <c r="H113" s="29">
        <f>AVERAGE(C113:G113)</f>
        <v>54</v>
      </c>
      <c r="I113" s="29" t="s">
        <v>122</v>
      </c>
      <c r="J113" s="30">
        <f t="shared" si="39"/>
        <v>6.8992753242641358</v>
      </c>
    </row>
    <row r="114" spans="1:10" ht="19.2" x14ac:dyDescent="0.3">
      <c r="B114" s="33" t="s">
        <v>123</v>
      </c>
    </row>
    <row r="116" spans="1:10" ht="15" thickBot="1" x14ac:dyDescent="0.35">
      <c r="A116" s="18" t="s">
        <v>92</v>
      </c>
      <c r="B116" s="20" t="s">
        <v>93</v>
      </c>
    </row>
    <row r="117" spans="1:10" x14ac:dyDescent="0.3">
      <c r="B117" s="21" t="s">
        <v>36</v>
      </c>
      <c r="C117" s="22" t="s">
        <v>37</v>
      </c>
      <c r="D117" s="22" t="s">
        <v>38</v>
      </c>
      <c r="E117" s="22" t="s">
        <v>39</v>
      </c>
      <c r="F117" s="22" t="s">
        <v>98</v>
      </c>
      <c r="G117" s="22" t="s">
        <v>99</v>
      </c>
      <c r="H117" s="22" t="s">
        <v>40</v>
      </c>
      <c r="I117" s="22"/>
      <c r="J117" s="22" t="s">
        <v>121</v>
      </c>
    </row>
    <row r="118" spans="1:10" x14ac:dyDescent="0.3">
      <c r="B118" s="23" t="s">
        <v>43</v>
      </c>
      <c r="C118" s="24">
        <f>C119+C120</f>
        <v>100</v>
      </c>
      <c r="D118" s="24">
        <f t="shared" ref="D118:G118" si="45">D119+D120</f>
        <v>100</v>
      </c>
      <c r="E118" s="24">
        <f t="shared" si="45"/>
        <v>100</v>
      </c>
      <c r="F118" s="24">
        <f t="shared" si="45"/>
        <v>100</v>
      </c>
      <c r="G118" s="24">
        <f t="shared" si="45"/>
        <v>100</v>
      </c>
      <c r="H118" s="25">
        <f>AVERAGE(C118:G118)</f>
        <v>100</v>
      </c>
      <c r="I118" s="25" t="s">
        <v>122</v>
      </c>
      <c r="J118" s="26">
        <f>_xlfn.STDEV.P(C118:G118)</f>
        <v>0</v>
      </c>
    </row>
    <row r="119" spans="1:10" x14ac:dyDescent="0.3">
      <c r="B119" s="23" t="s">
        <v>45</v>
      </c>
      <c r="C119" s="52">
        <v>97</v>
      </c>
      <c r="D119" s="52">
        <v>99</v>
      </c>
      <c r="E119" s="52">
        <v>93</v>
      </c>
      <c r="F119" s="52">
        <v>99</v>
      </c>
      <c r="G119" s="52">
        <v>98</v>
      </c>
      <c r="H119" s="25">
        <f t="shared" ref="H119:H125" si="46">AVERAGE(C119:G119)</f>
        <v>97.2</v>
      </c>
      <c r="I119" s="25" t="s">
        <v>122</v>
      </c>
      <c r="J119" s="26">
        <f t="shared" ref="J119:J125" si="47">_xlfn.STDEV.P(C119:G119)</f>
        <v>2.2271057451320089</v>
      </c>
    </row>
    <row r="120" spans="1:10" x14ac:dyDescent="0.3">
      <c r="B120" s="23" t="s">
        <v>47</v>
      </c>
      <c r="C120" s="52">
        <v>3</v>
      </c>
      <c r="D120" s="52">
        <v>1</v>
      </c>
      <c r="E120" s="52">
        <v>7</v>
      </c>
      <c r="F120" s="52">
        <v>1</v>
      </c>
      <c r="G120" s="52">
        <v>2</v>
      </c>
      <c r="H120" s="25">
        <f t="shared" si="46"/>
        <v>2.8</v>
      </c>
      <c r="I120" s="25" t="s">
        <v>122</v>
      </c>
      <c r="J120" s="26">
        <f t="shared" si="47"/>
        <v>2.2271057451320089</v>
      </c>
    </row>
    <row r="121" spans="1:10" x14ac:dyDescent="0.3">
      <c r="B121" s="23" t="s">
        <v>49</v>
      </c>
      <c r="C121" s="52">
        <v>48</v>
      </c>
      <c r="D121" s="52">
        <v>49</v>
      </c>
      <c r="E121" s="52">
        <v>44</v>
      </c>
      <c r="F121" s="52">
        <v>49</v>
      </c>
      <c r="G121" s="52">
        <v>49</v>
      </c>
      <c r="H121" s="25">
        <f t="shared" si="46"/>
        <v>47.8</v>
      </c>
      <c r="I121" s="25" t="s">
        <v>122</v>
      </c>
      <c r="J121" s="26">
        <f t="shared" si="47"/>
        <v>1.9390719429665317</v>
      </c>
    </row>
    <row r="122" spans="1:10" x14ac:dyDescent="0.3">
      <c r="B122" s="23" t="s">
        <v>51</v>
      </c>
      <c r="C122" s="52">
        <v>2</v>
      </c>
      <c r="D122" s="52">
        <v>1</v>
      </c>
      <c r="E122" s="52">
        <v>6</v>
      </c>
      <c r="F122" s="52">
        <v>1</v>
      </c>
      <c r="G122" s="52">
        <v>1</v>
      </c>
      <c r="H122" s="25">
        <f t="shared" si="46"/>
        <v>2.2000000000000002</v>
      </c>
      <c r="I122" s="25" t="s">
        <v>122</v>
      </c>
      <c r="J122" s="26">
        <f t="shared" si="47"/>
        <v>1.9390719429665315</v>
      </c>
    </row>
    <row r="123" spans="1:10" x14ac:dyDescent="0.3">
      <c r="B123" s="23" t="s">
        <v>53</v>
      </c>
      <c r="C123" s="52">
        <v>49</v>
      </c>
      <c r="D123" s="52">
        <v>50</v>
      </c>
      <c r="E123" s="52">
        <v>49</v>
      </c>
      <c r="F123" s="52">
        <v>50</v>
      </c>
      <c r="G123" s="52">
        <v>49</v>
      </c>
      <c r="H123" s="25">
        <f t="shared" si="46"/>
        <v>49.4</v>
      </c>
      <c r="I123" s="25" t="s">
        <v>122</v>
      </c>
      <c r="J123" s="26">
        <f t="shared" si="47"/>
        <v>0.4898979485566356</v>
      </c>
    </row>
    <row r="124" spans="1:10" x14ac:dyDescent="0.3">
      <c r="B124" s="23" t="s">
        <v>55</v>
      </c>
      <c r="C124" s="52">
        <v>1</v>
      </c>
      <c r="D124" s="52">
        <v>0</v>
      </c>
      <c r="E124" s="52">
        <v>1</v>
      </c>
      <c r="F124" s="52">
        <v>0</v>
      </c>
      <c r="G124" s="52">
        <v>1</v>
      </c>
      <c r="H124" s="25">
        <f t="shared" si="46"/>
        <v>0.6</v>
      </c>
      <c r="I124" s="25" t="s">
        <v>122</v>
      </c>
      <c r="J124" s="26">
        <f t="shared" si="47"/>
        <v>0.4898979485566356</v>
      </c>
    </row>
    <row r="125" spans="1:10" ht="15" thickBot="1" x14ac:dyDescent="0.35">
      <c r="B125" s="27" t="s">
        <v>57</v>
      </c>
      <c r="C125" s="53">
        <v>24</v>
      </c>
      <c r="D125" s="53">
        <v>52</v>
      </c>
      <c r="E125" s="53">
        <v>30</v>
      </c>
      <c r="F125" s="53">
        <v>37</v>
      </c>
      <c r="G125" s="53">
        <v>33</v>
      </c>
      <c r="H125" s="29">
        <f t="shared" si="46"/>
        <v>35.200000000000003</v>
      </c>
      <c r="I125" s="29" t="s">
        <v>122</v>
      </c>
      <c r="J125" s="30">
        <f t="shared" si="47"/>
        <v>9.4106322848148736</v>
      </c>
    </row>
    <row r="126" spans="1:10" ht="19.2" x14ac:dyDescent="0.3">
      <c r="B126" s="33" t="s">
        <v>123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D183-57FD-4856-B86B-B2B0F26B4DEB}">
  <dimension ref="A1:T116"/>
  <sheetViews>
    <sheetView topLeftCell="A8" workbookViewId="0">
      <selection activeCell="K14" sqref="K14"/>
    </sheetView>
  </sheetViews>
  <sheetFormatPr baseColWidth="10" defaultColWidth="11.44140625" defaultRowHeight="14.4" x14ac:dyDescent="0.3"/>
  <cols>
    <col min="2" max="2" width="34.88671875" customWidth="1"/>
    <col min="8" max="8" width="8.88671875" bestFit="1" customWidth="1"/>
    <col min="9" max="9" width="13" bestFit="1" customWidth="1"/>
    <col min="12" max="12" width="13.6640625" bestFit="1" customWidth="1"/>
    <col min="14" max="14" width="10.88671875" customWidth="1"/>
    <col min="15" max="15" width="10.5546875" customWidth="1"/>
  </cols>
  <sheetData>
    <row r="1" spans="1:20" x14ac:dyDescent="0.3">
      <c r="M1" t="s">
        <v>33</v>
      </c>
    </row>
    <row r="2" spans="1:20" x14ac:dyDescent="0.3">
      <c r="A2" t="s">
        <v>34</v>
      </c>
      <c r="B2" t="s">
        <v>35</v>
      </c>
      <c r="M2" t="str" cm="1">
        <f t="array" ref="M2:T2">TRANSPOSE(B4:B11)</f>
        <v>Individuos en el ambiente</v>
      </c>
      <c r="N2" t="str">
        <v>Número de individuos vivos</v>
      </c>
      <c r="O2" t="str">
        <v>Número de individuos muertos</v>
      </c>
      <c r="P2" t="str">
        <v>Número de pacientes vivos</v>
      </c>
      <c r="Q2" t="str">
        <v>Número de pacientes muertos</v>
      </c>
      <c r="R2" t="str">
        <v>Número de sanos vivos</v>
      </c>
      <c r="S2" t="str">
        <v>Número de sanos muertos</v>
      </c>
      <c r="T2" t="str">
        <v>Tiempo promedio de evacuación</v>
      </c>
    </row>
    <row r="3" spans="1:20" x14ac:dyDescent="0.3">
      <c r="B3" t="s">
        <v>36</v>
      </c>
      <c r="C3" t="s">
        <v>37</v>
      </c>
      <c r="D3" t="s">
        <v>38</v>
      </c>
      <c r="E3" t="s">
        <v>39</v>
      </c>
      <c r="F3" t="s">
        <v>98</v>
      </c>
      <c r="G3" t="s">
        <v>99</v>
      </c>
      <c r="H3" t="s">
        <v>40</v>
      </c>
      <c r="I3" t="s">
        <v>41</v>
      </c>
      <c r="L3" t="s">
        <v>42</v>
      </c>
      <c r="M3" cm="1">
        <f t="array" ref="M3:T3">TRANSPOSE(H4:H11)</f>
        <v>100</v>
      </c>
      <c r="N3">
        <v>87.2</v>
      </c>
      <c r="O3">
        <v>12.8</v>
      </c>
      <c r="P3">
        <v>34.4</v>
      </c>
      <c r="Q3">
        <v>5.6</v>
      </c>
      <c r="R3">
        <v>52.8</v>
      </c>
      <c r="S3">
        <v>7.2</v>
      </c>
      <c r="T3">
        <v>56</v>
      </c>
    </row>
    <row r="4" spans="1:20" x14ac:dyDescent="0.3">
      <c r="B4" t="s">
        <v>43</v>
      </c>
      <c r="C4">
        <f>C5+C6</f>
        <v>100</v>
      </c>
      <c r="D4">
        <f t="shared" ref="D4:G4" si="0">D5+D6</f>
        <v>100</v>
      </c>
      <c r="E4">
        <f t="shared" si="0"/>
        <v>100</v>
      </c>
      <c r="F4">
        <f t="shared" si="0"/>
        <v>100</v>
      </c>
      <c r="G4">
        <f t="shared" si="0"/>
        <v>100</v>
      </c>
      <c r="H4" s="2">
        <f>AVERAGE(C4:G4)</f>
        <v>100</v>
      </c>
      <c r="I4" s="1">
        <f>_xlfn.STDEV.P(C4:G4)</f>
        <v>0</v>
      </c>
      <c r="L4" t="s">
        <v>44</v>
      </c>
      <c r="M4" cm="1">
        <f t="array" ref="M4:T4">TRANSPOSE(H15:H22)</f>
        <v>290</v>
      </c>
      <c r="N4">
        <v>197.6</v>
      </c>
      <c r="O4">
        <v>92.4</v>
      </c>
      <c r="P4">
        <v>71.400000000000006</v>
      </c>
      <c r="Q4">
        <v>36.6</v>
      </c>
      <c r="R4">
        <v>126.2</v>
      </c>
      <c r="S4">
        <v>55.8</v>
      </c>
      <c r="T4">
        <v>71.599999999999994</v>
      </c>
    </row>
    <row r="5" spans="1:20" x14ac:dyDescent="0.3">
      <c r="B5" t="s">
        <v>45</v>
      </c>
      <c r="C5">
        <v>82</v>
      </c>
      <c r="D5">
        <v>87</v>
      </c>
      <c r="E5">
        <v>98</v>
      </c>
      <c r="F5">
        <v>93</v>
      </c>
      <c r="G5">
        <v>76</v>
      </c>
      <c r="H5" s="2">
        <f t="shared" ref="H5:H11" si="1">AVERAGE(C5:G5)</f>
        <v>87.2</v>
      </c>
      <c r="I5" s="1">
        <f t="shared" ref="I5:I11" si="2">_xlfn.STDEV.P(C5:G5)</f>
        <v>7.7820305833374883</v>
      </c>
      <c r="L5" t="s">
        <v>46</v>
      </c>
      <c r="M5" cm="1">
        <f t="array" ref="M5:T5">TRANSPOSE(H26:H33)</f>
        <v>110</v>
      </c>
      <c r="N5">
        <v>72.2</v>
      </c>
      <c r="O5">
        <v>37.799999999999997</v>
      </c>
      <c r="P5">
        <v>37.799999999999997</v>
      </c>
      <c r="Q5">
        <v>22.2</v>
      </c>
      <c r="R5">
        <v>34.4</v>
      </c>
      <c r="S5">
        <v>15.6</v>
      </c>
      <c r="T5">
        <v>45.2</v>
      </c>
    </row>
    <row r="6" spans="1:20" x14ac:dyDescent="0.3">
      <c r="B6" t="s">
        <v>47</v>
      </c>
      <c r="C6">
        <v>18</v>
      </c>
      <c r="D6">
        <v>13</v>
      </c>
      <c r="E6">
        <v>2</v>
      </c>
      <c r="F6">
        <v>7</v>
      </c>
      <c r="G6">
        <v>24</v>
      </c>
      <c r="H6" s="2">
        <f t="shared" si="1"/>
        <v>12.8</v>
      </c>
      <c r="I6" s="1">
        <f t="shared" si="2"/>
        <v>7.7820305833374883</v>
      </c>
      <c r="L6" t="s">
        <v>48</v>
      </c>
      <c r="M6" cm="1">
        <f t="array" ref="M6:T6">TRANSPOSE(H37:H44)</f>
        <v>0</v>
      </c>
      <c r="N6" t="e">
        <v>#DIV/0!</v>
      </c>
      <c r="O6" t="e">
        <v>#DIV/0!</v>
      </c>
      <c r="P6" t="e">
        <v>#DIV/0!</v>
      </c>
      <c r="Q6" t="e">
        <v>#DIV/0!</v>
      </c>
      <c r="R6" t="e">
        <v>#DIV/0!</v>
      </c>
      <c r="S6" t="e">
        <v>#DIV/0!</v>
      </c>
      <c r="T6" t="e">
        <v>#DIV/0!</v>
      </c>
    </row>
    <row r="7" spans="1:20" x14ac:dyDescent="0.3">
      <c r="B7" t="s">
        <v>49</v>
      </c>
      <c r="C7">
        <v>31</v>
      </c>
      <c r="D7">
        <v>36</v>
      </c>
      <c r="E7">
        <v>40</v>
      </c>
      <c r="F7">
        <v>35</v>
      </c>
      <c r="G7">
        <v>30</v>
      </c>
      <c r="H7" s="2">
        <f t="shared" si="1"/>
        <v>34.4</v>
      </c>
      <c r="I7" s="1">
        <f t="shared" si="2"/>
        <v>3.6110940170535577</v>
      </c>
      <c r="L7" t="s">
        <v>50</v>
      </c>
      <c r="M7" cm="1">
        <f t="array" ref="M7:T7">TRANSPOSE(H48:H55)</f>
        <v>100</v>
      </c>
      <c r="N7">
        <v>86.6</v>
      </c>
      <c r="O7">
        <v>13.4</v>
      </c>
      <c r="P7">
        <v>34.4</v>
      </c>
      <c r="Q7">
        <v>5.6</v>
      </c>
      <c r="R7">
        <v>52.2</v>
      </c>
      <c r="S7">
        <v>7.8</v>
      </c>
      <c r="T7">
        <v>35.6</v>
      </c>
    </row>
    <row r="8" spans="1:20" x14ac:dyDescent="0.3">
      <c r="B8" t="s">
        <v>51</v>
      </c>
      <c r="C8">
        <v>9</v>
      </c>
      <c r="D8">
        <v>4</v>
      </c>
      <c r="E8">
        <v>0</v>
      </c>
      <c r="F8">
        <v>5</v>
      </c>
      <c r="G8">
        <v>10</v>
      </c>
      <c r="H8" s="2">
        <f t="shared" si="1"/>
        <v>5.6</v>
      </c>
      <c r="I8" s="1">
        <f t="shared" si="2"/>
        <v>3.6110940170535577</v>
      </c>
      <c r="L8" t="s">
        <v>52</v>
      </c>
      <c r="M8" cm="1">
        <f t="array" ref="M8:T8">TRANSPOSE(H59:H66)</f>
        <v>100</v>
      </c>
      <c r="N8" s="10">
        <v>78.666666666666671</v>
      </c>
      <c r="O8" s="10">
        <v>21.333333333333332</v>
      </c>
      <c r="P8" s="10">
        <v>0</v>
      </c>
      <c r="Q8" s="10">
        <v>0</v>
      </c>
      <c r="R8" s="10">
        <v>0</v>
      </c>
      <c r="S8" s="10">
        <v>0</v>
      </c>
      <c r="T8" s="10">
        <v>320.8</v>
      </c>
    </row>
    <row r="9" spans="1:20" x14ac:dyDescent="0.3">
      <c r="B9" t="s">
        <v>53</v>
      </c>
      <c r="C9">
        <v>51</v>
      </c>
      <c r="D9">
        <v>51</v>
      </c>
      <c r="E9">
        <v>58</v>
      </c>
      <c r="F9">
        <v>58</v>
      </c>
      <c r="G9">
        <v>46</v>
      </c>
      <c r="H9" s="2">
        <f t="shared" si="1"/>
        <v>52.8</v>
      </c>
      <c r="I9" s="1">
        <f t="shared" si="2"/>
        <v>4.6216880033165371</v>
      </c>
      <c r="L9" t="s">
        <v>54</v>
      </c>
      <c r="M9" cm="1">
        <f t="array" ref="M9:T9">TRANSPOSE(H70:H77)</f>
        <v>120</v>
      </c>
      <c r="N9">
        <v>89</v>
      </c>
      <c r="O9">
        <v>31</v>
      </c>
      <c r="P9">
        <v>41.666666666666664</v>
      </c>
      <c r="Q9">
        <v>18.333333333333332</v>
      </c>
      <c r="R9">
        <v>47.333333333333336</v>
      </c>
      <c r="S9">
        <v>12.666666666666666</v>
      </c>
      <c r="T9">
        <v>293.59999999999997</v>
      </c>
    </row>
    <row r="10" spans="1:20" x14ac:dyDescent="0.3">
      <c r="B10" t="s">
        <v>55</v>
      </c>
      <c r="C10">
        <v>9</v>
      </c>
      <c r="D10">
        <v>9</v>
      </c>
      <c r="E10">
        <v>2</v>
      </c>
      <c r="F10">
        <v>2</v>
      </c>
      <c r="G10">
        <v>14</v>
      </c>
      <c r="H10" s="2">
        <f t="shared" si="1"/>
        <v>7.2</v>
      </c>
      <c r="I10" s="1">
        <f t="shared" si="2"/>
        <v>4.6216880033165371</v>
      </c>
      <c r="L10" t="s">
        <v>56</v>
      </c>
      <c r="M10" cm="1">
        <f t="array" ref="M10:T10">TRANSPOSE(H98:H105)</f>
        <v>113</v>
      </c>
      <c r="N10">
        <v>101.33333333333333</v>
      </c>
      <c r="O10">
        <v>11.666666666666666</v>
      </c>
      <c r="P10">
        <v>50.666666666666664</v>
      </c>
      <c r="Q10">
        <v>7.666666666666667</v>
      </c>
      <c r="R10">
        <v>50.666666666666664</v>
      </c>
      <c r="S10">
        <v>4</v>
      </c>
      <c r="T10">
        <v>366.66666666666669</v>
      </c>
    </row>
    <row r="11" spans="1:20" x14ac:dyDescent="0.3">
      <c r="B11" t="s">
        <v>57</v>
      </c>
      <c r="C11">
        <v>59</v>
      </c>
      <c r="D11">
        <v>60</v>
      </c>
      <c r="E11">
        <v>49</v>
      </c>
      <c r="F11">
        <v>65</v>
      </c>
      <c r="G11">
        <v>47</v>
      </c>
      <c r="H11" s="2">
        <f t="shared" si="1"/>
        <v>56</v>
      </c>
      <c r="I11" s="1">
        <f t="shared" si="2"/>
        <v>6.8702256149270671</v>
      </c>
      <c r="L11" t="s">
        <v>58</v>
      </c>
      <c r="M11" cm="1">
        <f t="array" ref="M11:T11">TRANSPOSE(H109:H116)</f>
        <v>100</v>
      </c>
      <c r="N11">
        <v>99</v>
      </c>
      <c r="O11">
        <v>1</v>
      </c>
      <c r="P11">
        <v>49.333333333333336</v>
      </c>
      <c r="Q11">
        <v>0.66666666666666663</v>
      </c>
      <c r="R11">
        <v>49.666666666666664</v>
      </c>
      <c r="S11">
        <v>0.33333333333333331</v>
      </c>
      <c r="T11">
        <v>346.66666666666669</v>
      </c>
    </row>
    <row r="13" spans="1:20" x14ac:dyDescent="0.3">
      <c r="A13" t="s">
        <v>59</v>
      </c>
      <c r="B13" t="s">
        <v>60</v>
      </c>
    </row>
    <row r="14" spans="1:20" x14ac:dyDescent="0.3">
      <c r="B14" t="s">
        <v>36</v>
      </c>
      <c r="C14" t="s">
        <v>37</v>
      </c>
      <c r="D14" t="s">
        <v>38</v>
      </c>
      <c r="E14" t="s">
        <v>39</v>
      </c>
      <c r="F14" t="s">
        <v>98</v>
      </c>
      <c r="G14" t="s">
        <v>99</v>
      </c>
      <c r="H14" t="s">
        <v>40</v>
      </c>
      <c r="I14" t="s">
        <v>41</v>
      </c>
    </row>
    <row r="15" spans="1:20" x14ac:dyDescent="0.3">
      <c r="B15" t="s">
        <v>43</v>
      </c>
      <c r="C15">
        <f>C16+C17</f>
        <v>290</v>
      </c>
      <c r="D15">
        <f t="shared" ref="D15:G15" si="3">D16+D17</f>
        <v>290</v>
      </c>
      <c r="E15">
        <f t="shared" si="3"/>
        <v>290</v>
      </c>
      <c r="F15">
        <f t="shared" si="3"/>
        <v>290</v>
      </c>
      <c r="G15">
        <f t="shared" si="3"/>
        <v>290</v>
      </c>
      <c r="H15" s="2">
        <f>AVERAGE(C15:G15)</f>
        <v>290</v>
      </c>
      <c r="I15" s="1">
        <f>_xlfn.STDEV.P(C15:G15)</f>
        <v>0</v>
      </c>
    </row>
    <row r="16" spans="1:20" x14ac:dyDescent="0.3">
      <c r="B16" t="s">
        <v>45</v>
      </c>
      <c r="C16">
        <v>180</v>
      </c>
      <c r="D16">
        <v>193</v>
      </c>
      <c r="E16">
        <v>216</v>
      </c>
      <c r="F16">
        <v>211</v>
      </c>
      <c r="G16">
        <v>188</v>
      </c>
      <c r="H16" s="2">
        <f>AVERAGE(C16:G16)</f>
        <v>197.6</v>
      </c>
      <c r="I16" s="1">
        <f t="shared" ref="I16:I22" si="4">_xlfn.STDEV.P(C16:G16)</f>
        <v>13.720058308913996</v>
      </c>
    </row>
    <row r="17" spans="1:9" x14ac:dyDescent="0.3">
      <c r="B17" t="s">
        <v>47</v>
      </c>
      <c r="C17">
        <v>110</v>
      </c>
      <c r="D17">
        <v>97</v>
      </c>
      <c r="E17">
        <v>74</v>
      </c>
      <c r="F17">
        <v>79</v>
      </c>
      <c r="G17">
        <v>102</v>
      </c>
      <c r="H17" s="2">
        <f t="shared" ref="H17:H22" si="5">AVERAGE(C17:G17)</f>
        <v>92.4</v>
      </c>
      <c r="I17" s="1">
        <f t="shared" si="4"/>
        <v>13.720058308913996</v>
      </c>
    </row>
    <row r="18" spans="1:9" x14ac:dyDescent="0.3">
      <c r="B18" t="s">
        <v>49</v>
      </c>
      <c r="C18">
        <v>64</v>
      </c>
      <c r="D18">
        <v>71</v>
      </c>
      <c r="E18">
        <v>77</v>
      </c>
      <c r="F18">
        <v>79</v>
      </c>
      <c r="G18">
        <v>66</v>
      </c>
      <c r="H18" s="2">
        <f t="shared" si="5"/>
        <v>71.400000000000006</v>
      </c>
      <c r="I18" s="1">
        <f t="shared" si="4"/>
        <v>5.8855755878248646</v>
      </c>
    </row>
    <row r="19" spans="1:9" x14ac:dyDescent="0.3">
      <c r="B19" t="s">
        <v>51</v>
      </c>
      <c r="C19">
        <v>44</v>
      </c>
      <c r="D19">
        <v>37</v>
      </c>
      <c r="E19">
        <v>31</v>
      </c>
      <c r="F19">
        <v>29</v>
      </c>
      <c r="G19">
        <v>42</v>
      </c>
      <c r="H19" s="2">
        <f>AVERAGE(C19:G19)</f>
        <v>36.6</v>
      </c>
      <c r="I19" s="1">
        <f t="shared" si="4"/>
        <v>5.8855755878248646</v>
      </c>
    </row>
    <row r="20" spans="1:9" x14ac:dyDescent="0.3">
      <c r="B20" t="s">
        <v>53</v>
      </c>
      <c r="C20">
        <v>116</v>
      </c>
      <c r="D20">
        <v>122</v>
      </c>
      <c r="E20">
        <v>139</v>
      </c>
      <c r="F20">
        <v>132</v>
      </c>
      <c r="G20">
        <v>122</v>
      </c>
      <c r="H20" s="2">
        <f t="shared" si="5"/>
        <v>126.2</v>
      </c>
      <c r="I20" s="1">
        <f t="shared" si="4"/>
        <v>8.2073138114732771</v>
      </c>
    </row>
    <row r="21" spans="1:9" x14ac:dyDescent="0.3">
      <c r="B21" t="s">
        <v>55</v>
      </c>
      <c r="C21">
        <v>66</v>
      </c>
      <c r="D21">
        <v>60</v>
      </c>
      <c r="E21">
        <v>43</v>
      </c>
      <c r="F21">
        <v>50</v>
      </c>
      <c r="G21">
        <v>60</v>
      </c>
      <c r="H21" s="2">
        <f t="shared" si="5"/>
        <v>55.8</v>
      </c>
      <c r="I21" s="1">
        <f t="shared" si="4"/>
        <v>8.2073138114732771</v>
      </c>
    </row>
    <row r="22" spans="1:9" x14ac:dyDescent="0.3">
      <c r="B22" t="s">
        <v>57</v>
      </c>
      <c r="C22">
        <v>65</v>
      </c>
      <c r="D22">
        <v>75</v>
      </c>
      <c r="E22">
        <v>79</v>
      </c>
      <c r="F22">
        <v>69</v>
      </c>
      <c r="G22">
        <v>70</v>
      </c>
      <c r="H22" s="2">
        <f t="shared" si="5"/>
        <v>71.599999999999994</v>
      </c>
      <c r="I22" s="1">
        <f t="shared" si="4"/>
        <v>4.8826222462934812</v>
      </c>
    </row>
    <row r="24" spans="1:9" x14ac:dyDescent="0.3">
      <c r="A24" t="s">
        <v>61</v>
      </c>
      <c r="B24" t="s">
        <v>62</v>
      </c>
    </row>
    <row r="25" spans="1:9" x14ac:dyDescent="0.3">
      <c r="B25" t="s">
        <v>36</v>
      </c>
      <c r="C25" t="s">
        <v>37</v>
      </c>
      <c r="D25" t="s">
        <v>38</v>
      </c>
      <c r="E25" t="s">
        <v>39</v>
      </c>
      <c r="F25" t="s">
        <v>98</v>
      </c>
      <c r="G25" t="s">
        <v>99</v>
      </c>
      <c r="H25" t="s">
        <v>40</v>
      </c>
      <c r="I25" t="s">
        <v>41</v>
      </c>
    </row>
    <row r="26" spans="1:9" x14ac:dyDescent="0.3">
      <c r="B26" t="s">
        <v>43</v>
      </c>
      <c r="C26">
        <f>C27+C28</f>
        <v>110</v>
      </c>
      <c r="D26">
        <f t="shared" ref="D26:G26" si="6">D27+D28</f>
        <v>110</v>
      </c>
      <c r="E26">
        <f t="shared" si="6"/>
        <v>110</v>
      </c>
      <c r="F26">
        <f t="shared" si="6"/>
        <v>110</v>
      </c>
      <c r="G26">
        <f t="shared" si="6"/>
        <v>110</v>
      </c>
      <c r="H26" s="2">
        <f>AVERAGE(C26:G26)</f>
        <v>110</v>
      </c>
      <c r="I26" s="1">
        <f>_xlfn.STDEV.P(C26:G26)</f>
        <v>0</v>
      </c>
    </row>
    <row r="27" spans="1:9" x14ac:dyDescent="0.3">
      <c r="B27" t="s">
        <v>45</v>
      </c>
      <c r="C27">
        <v>65</v>
      </c>
      <c r="D27">
        <v>73</v>
      </c>
      <c r="E27">
        <v>82</v>
      </c>
      <c r="F27">
        <v>65</v>
      </c>
      <c r="G27">
        <v>76</v>
      </c>
      <c r="H27" s="2">
        <f t="shared" ref="H27:H33" si="7">AVERAGE(C27:G27)</f>
        <v>72.2</v>
      </c>
      <c r="I27" s="1">
        <f t="shared" ref="I27:I33" si="8">_xlfn.STDEV.P(C27:G27)</f>
        <v>6.5543878432695752</v>
      </c>
    </row>
    <row r="28" spans="1:9" x14ac:dyDescent="0.3">
      <c r="B28" t="s">
        <v>47</v>
      </c>
      <c r="C28">
        <v>45</v>
      </c>
      <c r="D28">
        <v>37</v>
      </c>
      <c r="E28">
        <v>28</v>
      </c>
      <c r="F28">
        <v>45</v>
      </c>
      <c r="G28">
        <v>34</v>
      </c>
      <c r="H28" s="2">
        <f t="shared" si="7"/>
        <v>37.799999999999997</v>
      </c>
      <c r="I28" s="1">
        <f t="shared" si="8"/>
        <v>6.5543878432695761</v>
      </c>
    </row>
    <row r="29" spans="1:9" x14ac:dyDescent="0.3">
      <c r="B29" t="s">
        <v>49</v>
      </c>
      <c r="C29">
        <v>32</v>
      </c>
      <c r="D29">
        <v>38</v>
      </c>
      <c r="E29">
        <v>45</v>
      </c>
      <c r="F29">
        <v>31</v>
      </c>
      <c r="G29">
        <v>43</v>
      </c>
      <c r="H29" s="2">
        <f t="shared" si="7"/>
        <v>37.799999999999997</v>
      </c>
      <c r="I29" s="1">
        <f t="shared" si="8"/>
        <v>5.6356011214421482</v>
      </c>
    </row>
    <row r="30" spans="1:9" x14ac:dyDescent="0.3">
      <c r="B30" t="s">
        <v>51</v>
      </c>
      <c r="C30">
        <v>28</v>
      </c>
      <c r="D30">
        <v>22</v>
      </c>
      <c r="E30">
        <v>15</v>
      </c>
      <c r="F30">
        <v>29</v>
      </c>
      <c r="G30">
        <v>17</v>
      </c>
      <c r="H30" s="2">
        <f t="shared" si="7"/>
        <v>22.2</v>
      </c>
      <c r="I30" s="1">
        <f t="shared" si="8"/>
        <v>5.6356011214421482</v>
      </c>
    </row>
    <row r="31" spans="1:9" x14ac:dyDescent="0.3">
      <c r="B31" t="s">
        <v>53</v>
      </c>
      <c r="C31">
        <v>33</v>
      </c>
      <c r="D31">
        <v>35</v>
      </c>
      <c r="E31">
        <v>37</v>
      </c>
      <c r="F31">
        <v>34</v>
      </c>
      <c r="G31">
        <v>33</v>
      </c>
      <c r="H31" s="2">
        <f t="shared" si="7"/>
        <v>34.4</v>
      </c>
      <c r="I31" s="1">
        <f t="shared" si="8"/>
        <v>1.4966629547095764</v>
      </c>
    </row>
    <row r="32" spans="1:9" x14ac:dyDescent="0.3">
      <c r="B32" t="s">
        <v>55</v>
      </c>
      <c r="C32">
        <v>17</v>
      </c>
      <c r="D32">
        <v>15</v>
      </c>
      <c r="E32">
        <v>13</v>
      </c>
      <c r="F32">
        <v>16</v>
      </c>
      <c r="G32">
        <v>17</v>
      </c>
      <c r="H32" s="2">
        <f t="shared" si="7"/>
        <v>15.6</v>
      </c>
      <c r="I32" s="1">
        <f t="shared" si="8"/>
        <v>1.4966629547095764</v>
      </c>
    </row>
    <row r="33" spans="1:9" x14ac:dyDescent="0.3">
      <c r="B33" t="s">
        <v>57</v>
      </c>
      <c r="C33">
        <v>45</v>
      </c>
      <c r="D33">
        <v>47</v>
      </c>
      <c r="E33">
        <v>47</v>
      </c>
      <c r="F33">
        <v>48</v>
      </c>
      <c r="G33">
        <v>39</v>
      </c>
      <c r="H33" s="2">
        <f t="shared" si="7"/>
        <v>45.2</v>
      </c>
      <c r="I33" s="1">
        <f t="shared" si="8"/>
        <v>3.2496153618543842</v>
      </c>
    </row>
    <row r="35" spans="1:9" x14ac:dyDescent="0.3">
      <c r="A35" t="s">
        <v>63</v>
      </c>
      <c r="B35" t="s">
        <v>64</v>
      </c>
    </row>
    <row r="36" spans="1:9" x14ac:dyDescent="0.3">
      <c r="B36" t="s">
        <v>36</v>
      </c>
      <c r="C36" t="s">
        <v>37</v>
      </c>
      <c r="D36" t="s">
        <v>38</v>
      </c>
      <c r="E36" t="s">
        <v>39</v>
      </c>
      <c r="F36" t="s">
        <v>98</v>
      </c>
      <c r="G36" t="s">
        <v>99</v>
      </c>
      <c r="H36" t="s">
        <v>40</v>
      </c>
      <c r="I36" t="s">
        <v>41</v>
      </c>
    </row>
    <row r="37" spans="1:9" x14ac:dyDescent="0.3">
      <c r="B37" t="s">
        <v>43</v>
      </c>
      <c r="C37">
        <f>C38+C39</f>
        <v>0</v>
      </c>
      <c r="D37">
        <f t="shared" ref="D37:G37" si="9">D38+D39</f>
        <v>0</v>
      </c>
      <c r="E37">
        <f t="shared" si="9"/>
        <v>0</v>
      </c>
      <c r="F37">
        <f t="shared" si="9"/>
        <v>0</v>
      </c>
      <c r="G37">
        <f t="shared" si="9"/>
        <v>0</v>
      </c>
      <c r="H37" s="2">
        <f>AVERAGE(C37:G37)</f>
        <v>0</v>
      </c>
      <c r="I37" s="1">
        <f>_xlfn.STDEV.P(C37:G37)</f>
        <v>0</v>
      </c>
    </row>
    <row r="38" spans="1:9" x14ac:dyDescent="0.3">
      <c r="B38" t="s">
        <v>45</v>
      </c>
      <c r="H38" s="2" t="e">
        <f t="shared" ref="H38:H44" si="10">AVERAGE(C38:G38)</f>
        <v>#DIV/0!</v>
      </c>
      <c r="I38" s="1" t="e">
        <f t="shared" ref="I38:I44" si="11">_xlfn.STDEV.P(C38:G38)</f>
        <v>#DIV/0!</v>
      </c>
    </row>
    <row r="39" spans="1:9" x14ac:dyDescent="0.3">
      <c r="B39" t="s">
        <v>47</v>
      </c>
      <c r="H39" s="2" t="e">
        <f t="shared" si="10"/>
        <v>#DIV/0!</v>
      </c>
      <c r="I39" s="1" t="e">
        <f t="shared" si="11"/>
        <v>#DIV/0!</v>
      </c>
    </row>
    <row r="40" spans="1:9" x14ac:dyDescent="0.3">
      <c r="B40" t="s">
        <v>49</v>
      </c>
      <c r="H40" s="2" t="e">
        <f t="shared" si="10"/>
        <v>#DIV/0!</v>
      </c>
      <c r="I40" s="1" t="e">
        <f t="shared" si="11"/>
        <v>#DIV/0!</v>
      </c>
    </row>
    <row r="41" spans="1:9" x14ac:dyDescent="0.3">
      <c r="B41" t="s">
        <v>51</v>
      </c>
      <c r="H41" s="2" t="e">
        <f t="shared" si="10"/>
        <v>#DIV/0!</v>
      </c>
      <c r="I41" s="1" t="e">
        <f t="shared" si="11"/>
        <v>#DIV/0!</v>
      </c>
    </row>
    <row r="42" spans="1:9" x14ac:dyDescent="0.3">
      <c r="B42" t="s">
        <v>53</v>
      </c>
      <c r="H42" s="2" t="e">
        <f t="shared" si="10"/>
        <v>#DIV/0!</v>
      </c>
      <c r="I42" s="1" t="e">
        <f t="shared" si="11"/>
        <v>#DIV/0!</v>
      </c>
    </row>
    <row r="43" spans="1:9" x14ac:dyDescent="0.3">
      <c r="B43" t="s">
        <v>55</v>
      </c>
      <c r="H43" s="2" t="e">
        <f t="shared" si="10"/>
        <v>#DIV/0!</v>
      </c>
      <c r="I43" s="1" t="e">
        <f t="shared" si="11"/>
        <v>#DIV/0!</v>
      </c>
    </row>
    <row r="44" spans="1:9" x14ac:dyDescent="0.3">
      <c r="B44" t="s">
        <v>57</v>
      </c>
      <c r="H44" s="2" t="e">
        <f t="shared" si="10"/>
        <v>#DIV/0!</v>
      </c>
      <c r="I44" s="1" t="e">
        <f t="shared" si="11"/>
        <v>#DIV/0!</v>
      </c>
    </row>
    <row r="46" spans="1:9" x14ac:dyDescent="0.3">
      <c r="A46" t="s">
        <v>65</v>
      </c>
      <c r="B46" t="s">
        <v>66</v>
      </c>
    </row>
    <row r="47" spans="1:9" x14ac:dyDescent="0.3">
      <c r="B47" t="s">
        <v>36</v>
      </c>
      <c r="C47" t="s">
        <v>37</v>
      </c>
      <c r="D47" t="s">
        <v>38</v>
      </c>
      <c r="E47" t="s">
        <v>39</v>
      </c>
      <c r="F47" t="s">
        <v>98</v>
      </c>
      <c r="G47" t="s">
        <v>99</v>
      </c>
      <c r="H47" t="s">
        <v>40</v>
      </c>
      <c r="I47" t="s">
        <v>41</v>
      </c>
    </row>
    <row r="48" spans="1:9" x14ac:dyDescent="0.3">
      <c r="B48" t="s">
        <v>43</v>
      </c>
      <c r="C48">
        <f>C49+C50</f>
        <v>100</v>
      </c>
      <c r="D48">
        <f t="shared" ref="D48:G48" si="12">D49+D50</f>
        <v>100</v>
      </c>
      <c r="E48">
        <f t="shared" si="12"/>
        <v>100</v>
      </c>
      <c r="F48">
        <f t="shared" si="12"/>
        <v>100</v>
      </c>
      <c r="G48">
        <f t="shared" si="12"/>
        <v>100</v>
      </c>
      <c r="H48" s="2">
        <f>AVERAGE(C48:G48)</f>
        <v>100</v>
      </c>
      <c r="I48" s="1">
        <f>_xlfn.STDEV.P(C48:G48)</f>
        <v>0</v>
      </c>
    </row>
    <row r="49" spans="1:9" x14ac:dyDescent="0.3">
      <c r="B49" t="s">
        <v>45</v>
      </c>
      <c r="C49">
        <v>93</v>
      </c>
      <c r="D49">
        <v>79</v>
      </c>
      <c r="E49">
        <v>83</v>
      </c>
      <c r="F49">
        <v>94</v>
      </c>
      <c r="G49">
        <v>84</v>
      </c>
      <c r="H49" s="2">
        <f t="shared" ref="H49:H54" si="13">AVERAGE(C49:G49)</f>
        <v>86.6</v>
      </c>
      <c r="I49" s="1">
        <f t="shared" ref="I49:I55" si="14">_xlfn.STDEV.P(C49:G49)</f>
        <v>5.8855755878248646</v>
      </c>
    </row>
    <row r="50" spans="1:9" x14ac:dyDescent="0.3">
      <c r="B50" t="s">
        <v>47</v>
      </c>
      <c r="C50">
        <v>7</v>
      </c>
      <c r="D50">
        <v>21</v>
      </c>
      <c r="E50">
        <v>17</v>
      </c>
      <c r="F50">
        <v>6</v>
      </c>
      <c r="G50">
        <v>16</v>
      </c>
      <c r="H50" s="2">
        <f t="shared" si="13"/>
        <v>13.4</v>
      </c>
      <c r="I50" s="1">
        <f t="shared" si="14"/>
        <v>5.8855755878248646</v>
      </c>
    </row>
    <row r="51" spans="1:9" x14ac:dyDescent="0.3">
      <c r="B51" t="s">
        <v>49</v>
      </c>
      <c r="C51">
        <v>39</v>
      </c>
      <c r="D51">
        <v>28</v>
      </c>
      <c r="E51">
        <v>33</v>
      </c>
      <c r="F51">
        <v>39</v>
      </c>
      <c r="G51">
        <v>33</v>
      </c>
      <c r="H51" s="2">
        <f t="shared" si="13"/>
        <v>34.4</v>
      </c>
      <c r="I51" s="1">
        <f t="shared" si="14"/>
        <v>4.1761226035642203</v>
      </c>
    </row>
    <row r="52" spans="1:9" x14ac:dyDescent="0.3">
      <c r="B52" t="s">
        <v>51</v>
      </c>
      <c r="C52">
        <v>1</v>
      </c>
      <c r="D52">
        <v>12</v>
      </c>
      <c r="E52">
        <v>7</v>
      </c>
      <c r="F52">
        <v>1</v>
      </c>
      <c r="G52">
        <v>7</v>
      </c>
      <c r="H52" s="2">
        <f t="shared" si="13"/>
        <v>5.6</v>
      </c>
      <c r="I52" s="1">
        <f t="shared" si="14"/>
        <v>4.1761226035642203</v>
      </c>
    </row>
    <row r="53" spans="1:9" x14ac:dyDescent="0.3">
      <c r="B53" t="s">
        <v>53</v>
      </c>
      <c r="C53">
        <v>54</v>
      </c>
      <c r="D53">
        <v>51</v>
      </c>
      <c r="E53">
        <v>50</v>
      </c>
      <c r="F53">
        <v>55</v>
      </c>
      <c r="G53">
        <v>51</v>
      </c>
      <c r="H53" s="2">
        <f t="shared" si="13"/>
        <v>52.2</v>
      </c>
      <c r="I53" s="1">
        <f t="shared" si="14"/>
        <v>1.9390719429665317</v>
      </c>
    </row>
    <row r="54" spans="1:9" x14ac:dyDescent="0.3">
      <c r="B54" t="s">
        <v>55</v>
      </c>
      <c r="C54">
        <v>6</v>
      </c>
      <c r="D54">
        <v>9</v>
      </c>
      <c r="E54">
        <v>10</v>
      </c>
      <c r="F54">
        <v>5</v>
      </c>
      <c r="G54">
        <v>9</v>
      </c>
      <c r="H54" s="2">
        <f t="shared" si="13"/>
        <v>7.8</v>
      </c>
      <c r="I54" s="1">
        <f t="shared" si="14"/>
        <v>1.9390719429665315</v>
      </c>
    </row>
    <row r="55" spans="1:9" x14ac:dyDescent="0.3">
      <c r="B55" t="s">
        <v>57</v>
      </c>
      <c r="C55">
        <v>39</v>
      </c>
      <c r="D55">
        <v>37</v>
      </c>
      <c r="E55">
        <v>35</v>
      </c>
      <c r="F55">
        <v>34</v>
      </c>
      <c r="G55">
        <v>33</v>
      </c>
      <c r="H55" s="2">
        <f>AVERAGE(C55:G55)</f>
        <v>35.6</v>
      </c>
      <c r="I55" s="1">
        <f t="shared" si="14"/>
        <v>2.1540659228538015</v>
      </c>
    </row>
    <row r="57" spans="1:9" x14ac:dyDescent="0.3">
      <c r="A57" t="s">
        <v>67</v>
      </c>
      <c r="B57" t="s">
        <v>68</v>
      </c>
    </row>
    <row r="58" spans="1:9" x14ac:dyDescent="0.3">
      <c r="B58" t="s">
        <v>36</v>
      </c>
      <c r="C58" t="s">
        <v>37</v>
      </c>
      <c r="D58" t="s">
        <v>38</v>
      </c>
      <c r="E58" t="s">
        <v>39</v>
      </c>
      <c r="F58" t="s">
        <v>98</v>
      </c>
      <c r="G58" t="s">
        <v>99</v>
      </c>
      <c r="H58" t="s">
        <v>40</v>
      </c>
      <c r="I58" t="s">
        <v>41</v>
      </c>
    </row>
    <row r="59" spans="1:9" x14ac:dyDescent="0.3">
      <c r="B59" t="s">
        <v>43</v>
      </c>
      <c r="C59">
        <v>100</v>
      </c>
      <c r="D59">
        <v>100</v>
      </c>
      <c r="E59">
        <v>100</v>
      </c>
      <c r="H59" s="2">
        <f>AVERAGE(C59:G59)</f>
        <v>100</v>
      </c>
      <c r="I59" s="1">
        <f>_xlfn.STDEV.P(C59:G59)</f>
        <v>0</v>
      </c>
    </row>
    <row r="60" spans="1:9" x14ac:dyDescent="0.3">
      <c r="A60" t="s">
        <v>100</v>
      </c>
      <c r="B60" t="s">
        <v>45</v>
      </c>
      <c r="C60">
        <v>71</v>
      </c>
      <c r="D60">
        <v>86</v>
      </c>
      <c r="E60">
        <v>79</v>
      </c>
      <c r="H60" s="2">
        <f t="shared" ref="H60:H66" si="15">AVERAGE(C60:G60)</f>
        <v>78.666666666666671</v>
      </c>
      <c r="I60" s="1">
        <f t="shared" ref="I60:I66" si="16">_xlfn.STDEV.P(C60:G60)</f>
        <v>6.1282587702834119</v>
      </c>
    </row>
    <row r="61" spans="1:9" x14ac:dyDescent="0.3">
      <c r="B61" t="s">
        <v>47</v>
      </c>
      <c r="C61">
        <v>29</v>
      </c>
      <c r="D61">
        <v>14</v>
      </c>
      <c r="E61">
        <v>21</v>
      </c>
      <c r="H61" s="2">
        <f t="shared" si="15"/>
        <v>21.333333333333332</v>
      </c>
      <c r="I61" s="1">
        <f t="shared" si="16"/>
        <v>6.1282587702834119</v>
      </c>
    </row>
    <row r="62" spans="1:9" x14ac:dyDescent="0.3">
      <c r="B62" t="s">
        <v>49</v>
      </c>
      <c r="H62" s="2"/>
      <c r="I62" s="1"/>
    </row>
    <row r="63" spans="1:9" x14ac:dyDescent="0.3">
      <c r="B63" t="s">
        <v>51</v>
      </c>
      <c r="H63" s="2"/>
      <c r="I63" s="1"/>
    </row>
    <row r="64" spans="1:9" x14ac:dyDescent="0.3">
      <c r="B64" t="s">
        <v>53</v>
      </c>
      <c r="H64" s="2"/>
      <c r="I64" s="1"/>
    </row>
    <row r="65" spans="1:9" x14ac:dyDescent="0.3">
      <c r="B65" t="s">
        <v>55</v>
      </c>
      <c r="H65" s="2"/>
      <c r="I65" s="1"/>
    </row>
    <row r="66" spans="1:9" x14ac:dyDescent="0.3">
      <c r="B66" t="s">
        <v>57</v>
      </c>
      <c r="C66">
        <v>361.2</v>
      </c>
      <c r="D66">
        <v>331.8</v>
      </c>
      <c r="E66">
        <v>269.39999999999998</v>
      </c>
      <c r="H66" s="2">
        <f t="shared" si="15"/>
        <v>320.8</v>
      </c>
      <c r="I66" s="1">
        <f t="shared" si="16"/>
        <v>38.275840944386651</v>
      </c>
    </row>
    <row r="68" spans="1:9" x14ac:dyDescent="0.3">
      <c r="A68" t="s">
        <v>69</v>
      </c>
      <c r="B68" t="s">
        <v>70</v>
      </c>
    </row>
    <row r="69" spans="1:9" x14ac:dyDescent="0.3">
      <c r="B69" t="s">
        <v>36</v>
      </c>
      <c r="C69" t="s">
        <v>37</v>
      </c>
      <c r="D69" t="s">
        <v>38</v>
      </c>
      <c r="E69" t="s">
        <v>39</v>
      </c>
      <c r="F69" t="s">
        <v>98</v>
      </c>
      <c r="G69" t="s">
        <v>99</v>
      </c>
      <c r="H69" t="s">
        <v>40</v>
      </c>
      <c r="I69" t="s">
        <v>41</v>
      </c>
    </row>
    <row r="70" spans="1:9" x14ac:dyDescent="0.3">
      <c r="B70" t="s">
        <v>43</v>
      </c>
      <c r="C70">
        <v>120</v>
      </c>
      <c r="D70">
        <v>120</v>
      </c>
      <c r="E70">
        <v>120</v>
      </c>
      <c r="H70" s="2">
        <f>AVERAGE(C70:G70)</f>
        <v>120</v>
      </c>
      <c r="I70" s="1">
        <f>_xlfn.STDEV.P(C70:G70)</f>
        <v>0</v>
      </c>
    </row>
    <row r="71" spans="1:9" x14ac:dyDescent="0.3">
      <c r="B71" t="s">
        <v>45</v>
      </c>
      <c r="C71">
        <v>96</v>
      </c>
      <c r="D71">
        <v>89</v>
      </c>
      <c r="E71">
        <v>82</v>
      </c>
      <c r="H71" s="2">
        <f t="shared" ref="H71:H77" si="17">AVERAGE(C71:G71)</f>
        <v>89</v>
      </c>
      <c r="I71" s="1">
        <f t="shared" ref="I71:I77" si="18">_xlfn.STDEV.P(C71:G71)</f>
        <v>5.715476066494082</v>
      </c>
    </row>
    <row r="72" spans="1:9" x14ac:dyDescent="0.3">
      <c r="B72" t="s">
        <v>47</v>
      </c>
      <c r="C72">
        <v>24</v>
      </c>
      <c r="D72">
        <v>31</v>
      </c>
      <c r="E72">
        <v>38</v>
      </c>
      <c r="H72" s="2">
        <f t="shared" si="17"/>
        <v>31</v>
      </c>
      <c r="I72" s="1">
        <f t="shared" si="18"/>
        <v>5.715476066494082</v>
      </c>
    </row>
    <row r="73" spans="1:9" x14ac:dyDescent="0.3">
      <c r="A73" s="11" t="s">
        <v>71</v>
      </c>
      <c r="B73" t="s">
        <v>76</v>
      </c>
      <c r="C73">
        <v>41</v>
      </c>
      <c r="D73">
        <v>46</v>
      </c>
      <c r="E73">
        <v>38</v>
      </c>
      <c r="H73" s="2">
        <f t="shared" si="17"/>
        <v>41.666666666666664</v>
      </c>
      <c r="I73" s="1">
        <f t="shared" si="18"/>
        <v>3.2998316455372221</v>
      </c>
    </row>
    <row r="74" spans="1:9" x14ac:dyDescent="0.3">
      <c r="A74" t="s">
        <v>73</v>
      </c>
      <c r="B74" t="s">
        <v>78</v>
      </c>
      <c r="C74">
        <v>19</v>
      </c>
      <c r="D74">
        <v>14</v>
      </c>
      <c r="E74">
        <v>22</v>
      </c>
      <c r="H74" s="2">
        <f t="shared" si="17"/>
        <v>18.333333333333332</v>
      </c>
      <c r="I74" s="1">
        <f t="shared" si="18"/>
        <v>3.2998316455372216</v>
      </c>
    </row>
    <row r="75" spans="1:9" x14ac:dyDescent="0.3">
      <c r="A75" t="s">
        <v>75</v>
      </c>
      <c r="B75" t="s">
        <v>72</v>
      </c>
      <c r="C75">
        <v>55</v>
      </c>
      <c r="D75">
        <v>43</v>
      </c>
      <c r="E75">
        <v>44</v>
      </c>
      <c r="H75" s="2">
        <f t="shared" si="17"/>
        <v>47.333333333333336</v>
      </c>
      <c r="I75" s="1">
        <f t="shared" si="18"/>
        <v>5.4365021434333638</v>
      </c>
    </row>
    <row r="76" spans="1:9" x14ac:dyDescent="0.3">
      <c r="A76" t="s">
        <v>77</v>
      </c>
      <c r="B76" t="s">
        <v>74</v>
      </c>
      <c r="C76">
        <v>5</v>
      </c>
      <c r="D76">
        <v>17</v>
      </c>
      <c r="E76">
        <v>16</v>
      </c>
      <c r="H76" s="2">
        <f t="shared" si="17"/>
        <v>12.666666666666666</v>
      </c>
      <c r="I76" s="1">
        <f t="shared" si="18"/>
        <v>5.4365021434333638</v>
      </c>
    </row>
    <row r="77" spans="1:9" x14ac:dyDescent="0.3">
      <c r="B77" t="s">
        <v>57</v>
      </c>
      <c r="C77">
        <v>321</v>
      </c>
      <c r="D77">
        <v>259.8</v>
      </c>
      <c r="E77">
        <v>300</v>
      </c>
      <c r="H77" s="2">
        <f t="shared" si="17"/>
        <v>293.59999999999997</v>
      </c>
      <c r="I77" s="1">
        <f t="shared" si="18"/>
        <v>25.391337105398758</v>
      </c>
    </row>
    <row r="79" spans="1:9" x14ac:dyDescent="0.3">
      <c r="A79" t="s">
        <v>79</v>
      </c>
      <c r="B79" t="s">
        <v>80</v>
      </c>
    </row>
    <row r="80" spans="1:9" x14ac:dyDescent="0.3">
      <c r="B80" t="s">
        <v>36</v>
      </c>
      <c r="C80" t="s">
        <v>37</v>
      </c>
      <c r="D80" t="s">
        <v>38</v>
      </c>
      <c r="E80" t="s">
        <v>39</v>
      </c>
      <c r="F80" t="s">
        <v>98</v>
      </c>
      <c r="G80" t="s">
        <v>99</v>
      </c>
      <c r="H80" t="s">
        <v>40</v>
      </c>
      <c r="I80" t="s">
        <v>41</v>
      </c>
    </row>
    <row r="81" spans="1:9" x14ac:dyDescent="0.3">
      <c r="B81" t="s">
        <v>43</v>
      </c>
      <c r="C81">
        <v>114</v>
      </c>
      <c r="D81">
        <v>117</v>
      </c>
      <c r="E81">
        <v>108</v>
      </c>
      <c r="H81" s="2">
        <f>AVERAGE(C81:G81)</f>
        <v>113</v>
      </c>
      <c r="I81" s="1">
        <f>_xlfn.STDEV.P(C81:G81)</f>
        <v>3.7416573867739413</v>
      </c>
    </row>
    <row r="82" spans="1:9" x14ac:dyDescent="0.3">
      <c r="B82" t="s">
        <v>45</v>
      </c>
      <c r="C82">
        <v>101</v>
      </c>
      <c r="D82">
        <v>109</v>
      </c>
      <c r="E82">
        <v>94</v>
      </c>
      <c r="H82" s="2">
        <f t="shared" ref="H82:H94" si="19">AVERAGE(C82:G82)</f>
        <v>101.33333333333333</v>
      </c>
      <c r="I82" s="1">
        <f t="shared" ref="I82:I94" si="20">_xlfn.STDEV.P(C82:G82)</f>
        <v>6.128258770283411</v>
      </c>
    </row>
    <row r="83" spans="1:9" x14ac:dyDescent="0.3">
      <c r="B83" t="s">
        <v>47</v>
      </c>
      <c r="C83">
        <v>13</v>
      </c>
      <c r="D83">
        <v>8</v>
      </c>
      <c r="E83">
        <v>14</v>
      </c>
      <c r="H83" s="2">
        <f t="shared" si="19"/>
        <v>11.666666666666666</v>
      </c>
      <c r="I83" s="1">
        <f t="shared" si="20"/>
        <v>2.6246692913372702</v>
      </c>
    </row>
    <row r="84" spans="1:9" x14ac:dyDescent="0.3">
      <c r="A84" s="11"/>
      <c r="B84" t="s">
        <v>101</v>
      </c>
      <c r="C84">
        <v>20</v>
      </c>
      <c r="D84">
        <v>17</v>
      </c>
      <c r="E84">
        <v>18</v>
      </c>
      <c r="H84" s="2">
        <f t="shared" si="19"/>
        <v>18.333333333333332</v>
      </c>
      <c r="I84" s="1">
        <f t="shared" si="20"/>
        <v>1.247219128924647</v>
      </c>
    </row>
    <row r="85" spans="1:9" x14ac:dyDescent="0.3">
      <c r="B85" t="s">
        <v>82</v>
      </c>
      <c r="C85">
        <v>14</v>
      </c>
      <c r="D85">
        <v>21</v>
      </c>
      <c r="E85">
        <v>9</v>
      </c>
      <c r="H85" s="2">
        <f t="shared" si="19"/>
        <v>14.666666666666666</v>
      </c>
      <c r="I85" s="1">
        <f t="shared" si="20"/>
        <v>4.9216076867444665</v>
      </c>
    </row>
    <row r="86" spans="1:9" x14ac:dyDescent="0.3">
      <c r="B86" t="s">
        <v>83</v>
      </c>
      <c r="C86">
        <v>39</v>
      </c>
      <c r="D86">
        <v>40</v>
      </c>
      <c r="E86">
        <v>37</v>
      </c>
      <c r="H86" s="2">
        <f t="shared" si="19"/>
        <v>38.666666666666664</v>
      </c>
      <c r="I86" s="1">
        <f t="shared" si="20"/>
        <v>1.247219128924647</v>
      </c>
    </row>
    <row r="87" spans="1:9" x14ac:dyDescent="0.3">
      <c r="B87" t="s">
        <v>84</v>
      </c>
      <c r="C87">
        <v>11</v>
      </c>
      <c r="D87">
        <v>18</v>
      </c>
      <c r="E87">
        <v>7</v>
      </c>
      <c r="H87" s="2">
        <f t="shared" si="19"/>
        <v>12</v>
      </c>
      <c r="I87" s="1">
        <f t="shared" si="20"/>
        <v>4.5460605656619517</v>
      </c>
    </row>
    <row r="88" spans="1:9" x14ac:dyDescent="0.3">
      <c r="B88" t="s">
        <v>102</v>
      </c>
      <c r="C88">
        <v>36</v>
      </c>
      <c r="D88">
        <v>39</v>
      </c>
      <c r="E88">
        <v>36</v>
      </c>
      <c r="H88" s="2">
        <f t="shared" si="19"/>
        <v>37</v>
      </c>
      <c r="I88" s="1">
        <f t="shared" si="20"/>
        <v>1.4142135623730951</v>
      </c>
    </row>
    <row r="89" spans="1:9" x14ac:dyDescent="0.3">
      <c r="B89" t="s">
        <v>103</v>
      </c>
      <c r="C89">
        <v>15</v>
      </c>
      <c r="D89">
        <v>12</v>
      </c>
      <c r="E89">
        <v>14</v>
      </c>
      <c r="H89" s="2">
        <f t="shared" si="19"/>
        <v>13.666666666666666</v>
      </c>
      <c r="I89" s="1">
        <f t="shared" si="20"/>
        <v>1.247219128924647</v>
      </c>
    </row>
    <row r="90" spans="1:9" x14ac:dyDescent="0.3">
      <c r="B90" t="s">
        <v>87</v>
      </c>
      <c r="C90">
        <v>1</v>
      </c>
      <c r="D90">
        <v>0</v>
      </c>
      <c r="E90">
        <v>3</v>
      </c>
      <c r="H90" s="2">
        <f t="shared" si="19"/>
        <v>1.3333333333333333</v>
      </c>
      <c r="I90" s="1">
        <f t="shared" si="20"/>
        <v>1.247219128924647</v>
      </c>
    </row>
    <row r="91" spans="1:9" x14ac:dyDescent="0.3">
      <c r="B91" t="s">
        <v>88</v>
      </c>
      <c r="C91">
        <v>3</v>
      </c>
      <c r="D91">
        <v>3</v>
      </c>
      <c r="E91">
        <v>2</v>
      </c>
      <c r="H91" s="2">
        <f t="shared" si="19"/>
        <v>2.6666666666666665</v>
      </c>
      <c r="I91" s="1">
        <f t="shared" si="20"/>
        <v>0.47140452079103168</v>
      </c>
    </row>
    <row r="92" spans="1:9" x14ac:dyDescent="0.3">
      <c r="B92" t="s">
        <v>104</v>
      </c>
      <c r="C92">
        <v>4</v>
      </c>
      <c r="D92">
        <v>1</v>
      </c>
      <c r="E92">
        <v>3</v>
      </c>
      <c r="H92" s="2">
        <f t="shared" si="19"/>
        <v>2.6666666666666665</v>
      </c>
      <c r="I92" s="1">
        <f t="shared" si="20"/>
        <v>1.247219128924647</v>
      </c>
    </row>
    <row r="93" spans="1:9" x14ac:dyDescent="0.3">
      <c r="B93" t="s">
        <v>105</v>
      </c>
      <c r="C93">
        <v>5</v>
      </c>
      <c r="D93">
        <v>4</v>
      </c>
      <c r="E93">
        <v>6</v>
      </c>
      <c r="H93" s="2">
        <f t="shared" si="19"/>
        <v>5</v>
      </c>
      <c r="I93" s="1">
        <f t="shared" si="20"/>
        <v>0.81649658092772603</v>
      </c>
    </row>
    <row r="94" spans="1:9" x14ac:dyDescent="0.3">
      <c r="B94" t="s">
        <v>57</v>
      </c>
      <c r="C94">
        <v>410</v>
      </c>
      <c r="D94">
        <v>320</v>
      </c>
      <c r="E94">
        <v>370</v>
      </c>
      <c r="H94" s="2">
        <f t="shared" si="19"/>
        <v>366.66666666666669</v>
      </c>
      <c r="I94" s="1">
        <f t="shared" si="20"/>
        <v>36.817870057290868</v>
      </c>
    </row>
    <row r="96" spans="1:9" x14ac:dyDescent="0.3">
      <c r="B96" t="s">
        <v>91</v>
      </c>
    </row>
    <row r="97" spans="1:9" x14ac:dyDescent="0.3">
      <c r="B97" t="s">
        <v>36</v>
      </c>
      <c r="C97" t="s">
        <v>37</v>
      </c>
      <c r="D97" t="s">
        <v>38</v>
      </c>
      <c r="E97" t="s">
        <v>39</v>
      </c>
      <c r="F97" t="s">
        <v>98</v>
      </c>
      <c r="G97" t="s">
        <v>99</v>
      </c>
      <c r="H97" t="s">
        <v>40</v>
      </c>
      <c r="I97" t="s">
        <v>41</v>
      </c>
    </row>
    <row r="98" spans="1:9" x14ac:dyDescent="0.3">
      <c r="B98" t="s">
        <v>43</v>
      </c>
      <c r="C98">
        <v>114</v>
      </c>
      <c r="D98">
        <v>117</v>
      </c>
      <c r="E98">
        <v>108</v>
      </c>
      <c r="H98" s="2">
        <f>AVERAGE(C98:G98)</f>
        <v>113</v>
      </c>
      <c r="I98" s="1">
        <f>_xlfn.STDEV.P(C98:G98)</f>
        <v>3.7416573867739413</v>
      </c>
    </row>
    <row r="99" spans="1:9" x14ac:dyDescent="0.3">
      <c r="B99" t="s">
        <v>45</v>
      </c>
      <c r="C99">
        <v>101</v>
      </c>
      <c r="D99">
        <v>109</v>
      </c>
      <c r="E99">
        <v>94</v>
      </c>
      <c r="H99" s="2">
        <f t="shared" ref="H99:H105" si="21">AVERAGE(C99:G99)</f>
        <v>101.33333333333333</v>
      </c>
      <c r="I99" s="1">
        <f t="shared" ref="I99:I105" si="22">_xlfn.STDEV.P(C99:G99)</f>
        <v>6.128258770283411</v>
      </c>
    </row>
    <row r="100" spans="1:9" x14ac:dyDescent="0.3">
      <c r="B100" t="s">
        <v>47</v>
      </c>
      <c r="C100">
        <v>13</v>
      </c>
      <c r="D100">
        <v>8</v>
      </c>
      <c r="E100">
        <v>14</v>
      </c>
      <c r="H100" s="2">
        <f t="shared" si="21"/>
        <v>11.666666666666666</v>
      </c>
      <c r="I100" s="1">
        <f t="shared" si="22"/>
        <v>2.6246692913372702</v>
      </c>
    </row>
    <row r="101" spans="1:9" x14ac:dyDescent="0.3">
      <c r="B101" t="s">
        <v>49</v>
      </c>
      <c r="C101">
        <f>C88+C89</f>
        <v>51</v>
      </c>
      <c r="D101">
        <f t="shared" ref="D101:E101" si="23">D88+D89</f>
        <v>51</v>
      </c>
      <c r="E101">
        <f t="shared" si="23"/>
        <v>50</v>
      </c>
      <c r="H101" s="2">
        <f t="shared" si="21"/>
        <v>50.666666666666664</v>
      </c>
      <c r="I101" s="1">
        <f t="shared" si="22"/>
        <v>0.47140452079103168</v>
      </c>
    </row>
    <row r="102" spans="1:9" x14ac:dyDescent="0.3">
      <c r="B102" t="s">
        <v>51</v>
      </c>
      <c r="C102">
        <f>C92+C93</f>
        <v>9</v>
      </c>
      <c r="D102">
        <f t="shared" ref="D102:E102" si="24">D92+D93</f>
        <v>5</v>
      </c>
      <c r="E102">
        <f t="shared" si="24"/>
        <v>9</v>
      </c>
      <c r="H102" s="2">
        <f t="shared" si="21"/>
        <v>7.666666666666667</v>
      </c>
      <c r="I102" s="1">
        <f t="shared" si="22"/>
        <v>1.8856180831641267</v>
      </c>
    </row>
    <row r="103" spans="1:9" x14ac:dyDescent="0.3">
      <c r="B103" t="s">
        <v>53</v>
      </c>
      <c r="C103">
        <f>C86+C87</f>
        <v>50</v>
      </c>
      <c r="D103">
        <f t="shared" ref="D103:E103" si="25">D86+D87</f>
        <v>58</v>
      </c>
      <c r="E103">
        <f t="shared" si="25"/>
        <v>44</v>
      </c>
      <c r="H103" s="2">
        <f t="shared" si="21"/>
        <v>50.666666666666664</v>
      </c>
      <c r="I103" s="1">
        <f t="shared" si="22"/>
        <v>5.7348835113617511</v>
      </c>
    </row>
    <row r="104" spans="1:9" x14ac:dyDescent="0.3">
      <c r="B104" t="s">
        <v>55</v>
      </c>
      <c r="C104">
        <f>C90+C91</f>
        <v>4</v>
      </c>
      <c r="D104">
        <f t="shared" ref="D104:E104" si="26">D90+D91</f>
        <v>3</v>
      </c>
      <c r="E104">
        <f t="shared" si="26"/>
        <v>5</v>
      </c>
      <c r="H104" s="2">
        <f t="shared" si="21"/>
        <v>4</v>
      </c>
      <c r="I104" s="1">
        <f t="shared" si="22"/>
        <v>0.81649658092772603</v>
      </c>
    </row>
    <row r="105" spans="1:9" x14ac:dyDescent="0.3">
      <c r="B105" t="s">
        <v>57</v>
      </c>
      <c r="C105">
        <v>410</v>
      </c>
      <c r="D105">
        <v>320</v>
      </c>
      <c r="E105">
        <v>370</v>
      </c>
      <c r="H105" s="2">
        <f t="shared" si="21"/>
        <v>366.66666666666669</v>
      </c>
      <c r="I105" s="1">
        <f t="shared" si="22"/>
        <v>36.817870057290868</v>
      </c>
    </row>
    <row r="107" spans="1:9" x14ac:dyDescent="0.3">
      <c r="A107" t="s">
        <v>92</v>
      </c>
      <c r="B107" t="s">
        <v>93</v>
      </c>
    </row>
    <row r="108" spans="1:9" x14ac:dyDescent="0.3">
      <c r="B108" t="s">
        <v>36</v>
      </c>
      <c r="C108" t="s">
        <v>37</v>
      </c>
      <c r="D108" t="s">
        <v>38</v>
      </c>
      <c r="E108" t="s">
        <v>39</v>
      </c>
      <c r="F108" t="s">
        <v>98</v>
      </c>
      <c r="G108" t="s">
        <v>99</v>
      </c>
      <c r="H108" t="s">
        <v>40</v>
      </c>
      <c r="I108" t="s">
        <v>41</v>
      </c>
    </row>
    <row r="109" spans="1:9" x14ac:dyDescent="0.3">
      <c r="B109" t="s">
        <v>43</v>
      </c>
      <c r="C109">
        <v>100</v>
      </c>
      <c r="D109">
        <v>100</v>
      </c>
      <c r="E109">
        <v>100</v>
      </c>
      <c r="H109" s="2">
        <f>AVERAGE(C109:G109)</f>
        <v>100</v>
      </c>
      <c r="I109" s="1">
        <f>_xlfn.STDEV.P(C109:G109)</f>
        <v>0</v>
      </c>
    </row>
    <row r="110" spans="1:9" x14ac:dyDescent="0.3">
      <c r="B110" t="s">
        <v>45</v>
      </c>
      <c r="C110">
        <f>C112+C114</f>
        <v>99</v>
      </c>
      <c r="D110">
        <f t="shared" ref="D110:E111" si="27">D112+D114</f>
        <v>99</v>
      </c>
      <c r="E110">
        <f t="shared" si="27"/>
        <v>99</v>
      </c>
      <c r="H110" s="2">
        <f t="shared" ref="H110:H116" si="28">AVERAGE(C110:G110)</f>
        <v>99</v>
      </c>
      <c r="I110" s="1">
        <f t="shared" ref="I110:I116" si="29">_xlfn.STDEV.P(C110:G110)</f>
        <v>0</v>
      </c>
    </row>
    <row r="111" spans="1:9" x14ac:dyDescent="0.3">
      <c r="B111" t="s">
        <v>47</v>
      </c>
      <c r="C111">
        <f>C113+C115</f>
        <v>1</v>
      </c>
      <c r="D111">
        <f t="shared" si="27"/>
        <v>1</v>
      </c>
      <c r="E111">
        <f t="shared" si="27"/>
        <v>1</v>
      </c>
      <c r="H111" s="2">
        <f t="shared" si="28"/>
        <v>1</v>
      </c>
      <c r="I111" s="1">
        <f t="shared" si="29"/>
        <v>0</v>
      </c>
    </row>
    <row r="112" spans="1:9" x14ac:dyDescent="0.3">
      <c r="B112" t="s">
        <v>49</v>
      </c>
      <c r="C112">
        <v>49</v>
      </c>
      <c r="D112">
        <v>50</v>
      </c>
      <c r="E112">
        <v>49</v>
      </c>
      <c r="H112" s="2">
        <f t="shared" si="28"/>
        <v>49.333333333333336</v>
      </c>
      <c r="I112" s="1">
        <f t="shared" si="29"/>
        <v>0.47140452079103168</v>
      </c>
    </row>
    <row r="113" spans="2:9" x14ac:dyDescent="0.3">
      <c r="B113" t="s">
        <v>51</v>
      </c>
      <c r="C113">
        <v>1</v>
      </c>
      <c r="D113">
        <v>0</v>
      </c>
      <c r="E113">
        <v>1</v>
      </c>
      <c r="H113" s="2">
        <f t="shared" si="28"/>
        <v>0.66666666666666663</v>
      </c>
      <c r="I113" s="1">
        <f t="shared" si="29"/>
        <v>0.47140452079103168</v>
      </c>
    </row>
    <row r="114" spans="2:9" x14ac:dyDescent="0.3">
      <c r="B114" t="s">
        <v>53</v>
      </c>
      <c r="C114">
        <v>50</v>
      </c>
      <c r="D114">
        <v>49</v>
      </c>
      <c r="E114">
        <v>50</v>
      </c>
      <c r="H114" s="2">
        <f t="shared" si="28"/>
        <v>49.666666666666664</v>
      </c>
      <c r="I114" s="1">
        <f t="shared" si="29"/>
        <v>0.47140452079103168</v>
      </c>
    </row>
    <row r="115" spans="2:9" x14ac:dyDescent="0.3">
      <c r="B115" t="s">
        <v>55</v>
      </c>
      <c r="C115">
        <v>0</v>
      </c>
      <c r="D115">
        <v>1</v>
      </c>
      <c r="E115">
        <v>0</v>
      </c>
      <c r="H115" s="2">
        <f t="shared" si="28"/>
        <v>0.33333333333333331</v>
      </c>
      <c r="I115" s="1">
        <f t="shared" si="29"/>
        <v>0.47140452079103168</v>
      </c>
    </row>
    <row r="116" spans="2:9" x14ac:dyDescent="0.3">
      <c r="B116" t="s">
        <v>57</v>
      </c>
      <c r="C116">
        <v>355</v>
      </c>
      <c r="D116">
        <v>318</v>
      </c>
      <c r="E116">
        <v>367</v>
      </c>
      <c r="H116" s="2">
        <f t="shared" si="28"/>
        <v>346.66666666666669</v>
      </c>
      <c r="I116" s="1">
        <f t="shared" si="29"/>
        <v>20.853989759489401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Paper</vt:lpstr>
      <vt:lpstr>Resultados_paper</vt:lpstr>
      <vt:lpstr>Net_logo</vt:lpstr>
      <vt:lpstr>Resultados_net_logo</vt:lpstr>
      <vt:lpstr>Resultados_net_logo(no_vel)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Andrés Buriticá Hernández</dc:creator>
  <cp:keywords/>
  <dc:description/>
  <cp:lastModifiedBy>Carlos Buritica Hernandez</cp:lastModifiedBy>
  <cp:revision/>
  <dcterms:created xsi:type="dcterms:W3CDTF">2015-06-05T18:19:34Z</dcterms:created>
  <dcterms:modified xsi:type="dcterms:W3CDTF">2026-07-09T01:56:06Z</dcterms:modified>
  <cp:category/>
  <cp:contentStatus/>
</cp:coreProperties>
</file>